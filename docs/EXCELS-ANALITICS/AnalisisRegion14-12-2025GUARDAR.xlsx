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NALISIS" sheetId="4" r:id="rId1"/>
    <sheet name="PLAYERS" sheetId="1" r:id="rId2"/>
    <sheet name="CHARACTERS" sheetId="2" r:id="rId3"/>
    <sheet name="metadata" sheetId="3" r:id="rId4"/>
  </sheets>
  <calcPr calcId="152511"/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2" i="4"/>
  <c r="C80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" i="4"/>
</calcChain>
</file>

<file path=xl/sharedStrings.xml><?xml version="1.0" encoding="utf-8"?>
<sst xmlns="http://schemas.openxmlformats.org/spreadsheetml/2006/main" count="377" uniqueCount="205">
  <si>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</si>
  <si>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</si>
  <si>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</si>
  <si>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</si>
  <si>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</si>
  <si>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</si>
  <si>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</si>
  <si>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</si>
  <si>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</si>
  <si>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</si>
  <si>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</si>
  <si>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</si>
  <si>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</si>
  <si>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</si>
  <si>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</si>
  <si>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</si>
  <si>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</si>
  <si>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</si>
  <si>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</si>
  <si>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</si>
  <si>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</si>
  <si>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</si>
  <si>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</si>
  <si>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Rank</t>
  </si>
  <si>
    <t>Player</t>
  </si>
  <si>
    <t>OW / PHX | Peppa</t>
  </si>
  <si>
    <t>Castle</t>
  </si>
  <si>
    <t>TEW | iBet</t>
  </si>
  <si>
    <t>TEW | LÃ¶rd</t>
  </si>
  <si>
    <t>Slade</t>
  </si>
  <si>
    <t>TEW | LinkEa</t>
  </si>
  <si>
    <t>Diptox</t>
  </si>
  <si>
    <t>PHX | Huanito</t>
  </si>
  <si>
    <t>PHX | Zoul</t>
  </si>
  <si>
    <t>SyC | LeSoS</t>
  </si>
  <si>
    <t>TEW | Piporex</t>
  </si>
  <si>
    <t>PHX | Wakanda</t>
  </si>
  <si>
    <t>TEW | C8</t>
  </si>
  <si>
    <t>SS</t>
  </si>
  <si>
    <t>TEW | Panda</t>
  </si>
  <si>
    <t>PHX | Hikarii</t>
  </si>
  <si>
    <t>Jubaea</t>
  </si>
  <si>
    <t>PHX | Kero~</t>
  </si>
  <si>
    <t>PHX | Eliecer</t>
  </si>
  <si>
    <t>Tew | Necrossb</t>
  </si>
  <si>
    <t>TEW | Loba</t>
  </si>
  <si>
    <t>SurgicalZ</t>
  </si>
  <si>
    <t>Valenz</t>
  </si>
  <si>
    <t>MNK | Porroyo</t>
  </si>
  <si>
    <t>DaeWaton</t>
  </si>
  <si>
    <t>TEW | CR1</t>
  </si>
  <si>
    <t>PHX | Zorkats</t>
  </si>
  <si>
    <t>TEW | Little N</t>
  </si>
  <si>
    <t>PHX | nicoFlein</t>
  </si>
  <si>
    <t>WLB | SaiKora</t>
  </si>
  <si>
    <t>CQC | Cookie</t>
  </si>
  <si>
    <t>TEW | Mae</t>
  </si>
  <si>
    <t>PHX | Ertiop</t>
  </si>
  <si>
    <t>fco92DS</t>
  </si>
  <si>
    <t>FSM | sk8!</t>
  </si>
  <si>
    <t>SK | Al.chemyst</t>
  </si>
  <si>
    <t>Coslento</t>
  </si>
  <si>
    <t>Drim</t>
  </si>
  <si>
    <t>Sebaibox</t>
  </si>
  <si>
    <t>Hammer</t>
  </si>
  <si>
    <t>DSL | Incoknito</t>
  </si>
  <si>
    <t>ãƒ†ãƒ«</t>
  </si>
  <si>
    <t>cloudyntt</t>
  </si>
  <si>
    <t>Hakos</t>
  </si>
  <si>
    <t>Medisend</t>
  </si>
  <si>
    <t>Dubent</t>
  </si>
  <si>
    <t>UV | Yamato</t>
  </si>
  <si>
    <t>DLX | Rayas</t>
  </si>
  <si>
    <t>Claulink</t>
  </si>
  <si>
    <t>FSM | Xcrist0717</t>
  </si>
  <si>
    <t>Jhamest</t>
  </si>
  <si>
    <t>Mac</t>
  </si>
  <si>
    <t>Zenko</t>
  </si>
  <si>
    <t>linkero</t>
  </si>
  <si>
    <t>TouyaCosp</t>
  </si>
  <si>
    <t>Zen</t>
  </si>
  <si>
    <t>tobirope</t>
  </si>
  <si>
    <t>The panther</t>
  </si>
  <si>
    <t>enzol</t>
  </si>
  <si>
    <t>Tomalope15</t>
  </si>
  <si>
    <t>CM | Dax</t>
  </si>
  <si>
    <t>Aamatt</t>
  </si>
  <si>
    <t>FSM | esnupi</t>
  </si>
  <si>
    <t>Leni</t>
  </si>
  <si>
    <t>Spekkio</t>
  </si>
  <si>
    <t>RaduxSepul</t>
  </si>
  <si>
    <t>Yochiguesa</t>
  </si>
  <si>
    <t>Me. P | pinguigamer</t>
  </si>
  <si>
    <t>ShirakoGX</t>
  </si>
  <si>
    <t>Masato</t>
  </si>
  <si>
    <t>guatonpant</t>
  </si>
  <si>
    <t>Shroomite</t>
  </si>
  <si>
    <t>SpryZeed</t>
  </si>
  <si>
    <t>Chichex</t>
  </si>
  <si>
    <t>WLB | CRONS^2</t>
  </si>
  <si>
    <t>StoneStorm</t>
  </si>
  <si>
    <t>kayronmon</t>
  </si>
  <si>
    <t>Ruki Zero</t>
  </si>
  <si>
    <t>01 | kyuu</t>
  </si>
  <si>
    <t>Foward-air</t>
  </si>
  <si>
    <t>GG | Big smoke</t>
  </si>
  <si>
    <t>mostaza</t>
  </si>
  <si>
    <t>Supersallan34</t>
  </si>
  <si>
    <t>Sebah</t>
  </si>
  <si>
    <t>Nacho</t>
  </si>
  <si>
    <t>Dack</t>
  </si>
  <si>
    <t>Vee</t>
  </si>
  <si>
    <t xml:space="preserve">Character 1 </t>
  </si>
  <si>
    <t>Character 2</t>
  </si>
  <si>
    <t>Mario</t>
  </si>
  <si>
    <t>Donkey Kong</t>
  </si>
  <si>
    <t>Link</t>
  </si>
  <si>
    <t>Samus</t>
  </si>
  <si>
    <t>Yoshi</t>
  </si>
  <si>
    <t>Kirby</t>
  </si>
  <si>
    <t>Fox</t>
  </si>
  <si>
    <t>Luigi</t>
  </si>
  <si>
    <t>Ness</t>
  </si>
  <si>
    <t>Peach</t>
  </si>
  <si>
    <t>Sheik</t>
  </si>
  <si>
    <t>Zelda</t>
  </si>
  <si>
    <t>Pichu</t>
  </si>
  <si>
    <t>Falco</t>
  </si>
  <si>
    <t>Marth</t>
  </si>
  <si>
    <t>Ganondorf</t>
  </si>
  <si>
    <t>Mewtwo</t>
  </si>
  <si>
    <t>Roy</t>
  </si>
  <si>
    <t>Mr. Game &amp; Watch</t>
  </si>
  <si>
    <t>Meta Knight</t>
  </si>
  <si>
    <t>Pit</t>
  </si>
  <si>
    <t>Zero Suit Samus</t>
  </si>
  <si>
    <t>Wario</t>
  </si>
  <si>
    <t>Snake</t>
  </si>
  <si>
    <t>Ike</t>
  </si>
  <si>
    <t>Diddy Kong</t>
  </si>
  <si>
    <t>Lucas</t>
  </si>
  <si>
    <t>Sonic</t>
  </si>
  <si>
    <t>R.O.B.</t>
  </si>
  <si>
    <t>Wolf</t>
  </si>
  <si>
    <t>Rosalina &amp; Luma</t>
  </si>
  <si>
    <t>Greninja</t>
  </si>
  <si>
    <t>Mii Brawler</t>
  </si>
  <si>
    <t>Mii Swordfighter</t>
  </si>
  <si>
    <t>Mii Gunner</t>
  </si>
  <si>
    <t>Pac-Man</t>
  </si>
  <si>
    <t>Robin</t>
  </si>
  <si>
    <t>Shulk</t>
  </si>
  <si>
    <t>Ryu</t>
  </si>
  <si>
    <t>Cloud</t>
  </si>
  <si>
    <t>Corrin</t>
  </si>
  <si>
    <t>Inkling</t>
  </si>
  <si>
    <t>Simon</t>
  </si>
  <si>
    <t>Incineroar</t>
  </si>
  <si>
    <t>Joker</t>
  </si>
  <si>
    <t>Hero</t>
  </si>
  <si>
    <t>Banjo &amp; Kazooie</t>
  </si>
  <si>
    <t>Terry</t>
  </si>
  <si>
    <t>Byleth</t>
  </si>
  <si>
    <t>Min Min</t>
  </si>
  <si>
    <t>Steve/Alex</t>
  </si>
  <si>
    <t>Sephiroth</t>
  </si>
  <si>
    <t>Pikachu</t>
  </si>
  <si>
    <t>Captain Falcon</t>
  </si>
  <si>
    <t>Jigglypuff</t>
  </si>
  <si>
    <t>Bowser</t>
  </si>
  <si>
    <t>Ice Climbers</t>
  </si>
  <si>
    <t>Dr. Mario</t>
  </si>
  <si>
    <t>Young Link</t>
  </si>
  <si>
    <t>Olimar</t>
  </si>
  <si>
    <t>Lucario</t>
  </si>
  <si>
    <t>Villager</t>
  </si>
  <si>
    <t>King Dedede</t>
  </si>
  <si>
    <t>Mega Man</t>
  </si>
  <si>
    <t>Toon Link</t>
  </si>
  <si>
    <t>Wii Fit Trainer</t>
  </si>
  <si>
    <t>Little Mac</t>
  </si>
  <si>
    <t>Palutena</t>
  </si>
  <si>
    <t>Bowser Jr.</t>
  </si>
  <si>
    <t>Dunk Hunt</t>
  </si>
  <si>
    <t>Bayonetta</t>
  </si>
  <si>
    <t>Ridley</t>
  </si>
  <si>
    <t>King K. Rool</t>
  </si>
  <si>
    <t>Isabelle</t>
  </si>
  <si>
    <t>Piranha Plant</t>
  </si>
  <si>
    <t>Sora</t>
  </si>
  <si>
    <t>Kazuya</t>
  </si>
  <si>
    <t>id</t>
  </si>
  <si>
    <t>AEGIS</t>
  </si>
  <si>
    <t>PKMN TRAINER</t>
  </si>
  <si>
    <t>PERSONAJE</t>
  </si>
  <si>
    <t>ASISTENCIA JUGADOR</t>
  </si>
  <si>
    <t>GANABLE?</t>
  </si>
  <si>
    <t>°</t>
  </si>
  <si>
    <t>NO</t>
  </si>
  <si>
    <t>SI</t>
  </si>
  <si>
    <t>NO SE</t>
  </si>
  <si>
    <t>NOTA:</t>
  </si>
  <si>
    <t>SOLO ASISTE A PARADOX SERIES</t>
  </si>
  <si>
    <t>prioridad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</si>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</sst>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2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3" displayName="Table3" ref="A1:T241" totalsRowShown="0">
  <autoFilter ref="A1:T241"/>
  <tableColumns count="20">
    <tableColumn id="1" name="°"/>
    <tableColumn id="2" name="PERSONAJE"/>
    <tableColumn id="3" name="base" dataDxfId="0">
      <calculatedColumnFormula>SUMAR.SI(PLAYERS!C:C, TEXTO.DESPUES(ANALISIS!B2," "), PLAYERS!E:E)</calculatedColumnFormula>
    </tableColumn>
    <tableColumn id="4" name="prioridad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V150" totalsRowShown="0" headerRowDxfId="1" dataDxfId="2">
  <autoFilter ref="A1:V150"/>
  <tableColumns count="22">
    <tableColumn id="1" name="Rank" dataDxfId="24"/>
    <tableColumn id="2" name="Player" dataDxfId="23"/>
    <tableColumn id="3" name="Character 1 " dataDxfId="22"/>
    <tableColumn id="4" name="Character 2" dataDxfId="21"/>
    <tableColumn id="5" name="ASISTENCIA JUGADOR" dataDxfId="20"/>
    <tableColumn id="6" name="GANABLE?" dataDxfId="19"/>
    <tableColumn id="7" name="NOTA:" dataDxfId="18"/>
    <tableColumn id="8" name="Column8" dataDxfId="17"/>
    <tableColumn id="9" name="Column9" dataDxfId="16"/>
    <tableColumn id="10" name="Column10" dataDxfId="15"/>
    <tableColumn id="11" name="Column11" dataDxfId="14"/>
    <tableColumn id="12" name="Column12" dataDxfId="13"/>
    <tableColumn id="13" name="Column13" dataDxfId="12"/>
    <tableColumn id="14" name="Column14" dataDxfId="11"/>
    <tableColumn id="15" name="Column15" dataDxfId="10"/>
    <tableColumn id="16" name="Column16" dataDxfId="9"/>
    <tableColumn id="17" name="Column17" dataDxfId="8"/>
    <tableColumn id="18" name="Column18" dataDxfId="7"/>
    <tableColumn id="19" name="Column19" dataDxfId="6"/>
    <tableColumn id="20" name="Column20" dataDxfId="5"/>
    <tableColumn id="21" name="Column21" dataDxfId="4"/>
    <tableColumn id="22" name="Column22" dataDxfId="3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R361" totalsRowShown="0">
  <autoFilter ref="A1:R361"/>
  <tableColumns count="18">
    <tableColumn id="1" name="id"/>
    <tableColumn id="2" name="PERSONAJE"/>
    <tableColumn id="3" name="Column1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W211" totalsRowShown="0">
  <autoFilter ref="A1:W211"/>
  <tableColumns count="2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tabSelected="1" topLeftCell="A57" workbookViewId="0">
      <selection activeCell="B78" sqref="B78"/>
    </sheetView>
  </sheetViews>
  <sheetFormatPr defaultRowHeight="14.4" x14ac:dyDescent="0.3"/>
  <cols>
    <col min="1" max="1" width="10.109375" customWidth="1"/>
    <col min="2" max="2" width="18.21875" customWidth="1"/>
    <col min="3" max="3" width="23.6640625" customWidth="1"/>
    <col min="4" max="4" width="27.6640625" customWidth="1"/>
    <col min="5" max="9" width="10.109375" customWidth="1"/>
    <col min="10" max="20" width="11.109375" customWidth="1"/>
  </cols>
  <sheetData>
    <row r="1" spans="1:20" x14ac:dyDescent="0.3">
      <c r="A1" t="s">
        <v>197</v>
      </c>
      <c r="B1" t="s">
        <v>194</v>
      </c>
      <c r="C1" t="s">
        <v>204</v>
      </c>
      <c r="D1" t="s">
        <v>203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114</v>
      </c>
      <c r="C2">
        <f>VLOOKUP(B2, PLAYERS!C:E, 3, FALSE)</f>
        <v>6</v>
      </c>
      <c r="D2">
        <f>SUMIF(PLAYERS!C:C, B2, PLAYERS!E:E)</f>
        <v>6</v>
      </c>
    </row>
    <row r="3" spans="1:20" x14ac:dyDescent="0.3">
      <c r="A3">
        <v>2</v>
      </c>
      <c r="B3" t="s">
        <v>115</v>
      </c>
      <c r="C3" t="e">
        <f>VLOOKUP(B3, PLAYERS!C:E, 3, FALSE)</f>
        <v>#N/A</v>
      </c>
      <c r="D3">
        <f>SUMIF(PLAYERS!C:C, B3, PLAYERS!E:E)</f>
        <v>0</v>
      </c>
    </row>
    <row r="4" spans="1:20" x14ac:dyDescent="0.3">
      <c r="A4">
        <v>3</v>
      </c>
      <c r="B4" t="s">
        <v>116</v>
      </c>
      <c r="C4">
        <f>VLOOKUP(B4, PLAYERS!C:E, 3, FALSE)</f>
        <v>5</v>
      </c>
      <c r="D4">
        <f>SUMIF(PLAYERS!C:C, B4, PLAYERS!E:E)</f>
        <v>5</v>
      </c>
    </row>
    <row r="5" spans="1:20" x14ac:dyDescent="0.3">
      <c r="A5">
        <v>4</v>
      </c>
      <c r="B5" t="s">
        <v>117</v>
      </c>
      <c r="C5" t="e">
        <f>VLOOKUP(B5, PLAYERS!C:E, 3, FALSE)</f>
        <v>#N/A</v>
      </c>
      <c r="D5">
        <f>SUMIF(PLAYERS!C:C, B5, PLAYERS!E:E)</f>
        <v>0</v>
      </c>
    </row>
    <row r="6" spans="1:20" x14ac:dyDescent="0.3">
      <c r="A6">
        <v>5</v>
      </c>
      <c r="B6" t="s">
        <v>118</v>
      </c>
      <c r="C6" t="e">
        <f>VLOOKUP(B6, PLAYERS!C:E, 3, FALSE)</f>
        <v>#N/A</v>
      </c>
      <c r="D6">
        <f>SUMIF(PLAYERS!C:C, B6, PLAYERS!E:E)</f>
        <v>0</v>
      </c>
    </row>
    <row r="7" spans="1:20" x14ac:dyDescent="0.3">
      <c r="A7">
        <v>6</v>
      </c>
      <c r="B7" t="s">
        <v>119</v>
      </c>
      <c r="C7" t="e">
        <f>VLOOKUP(B7, PLAYERS!C:E, 3, FALSE)</f>
        <v>#N/A</v>
      </c>
      <c r="D7">
        <f>SUMIF(PLAYERS!C:C, B7, PLAYERS!E:E)</f>
        <v>0</v>
      </c>
    </row>
    <row r="8" spans="1:20" x14ac:dyDescent="0.3">
      <c r="A8">
        <v>7</v>
      </c>
      <c r="B8" t="s">
        <v>120</v>
      </c>
      <c r="C8" t="e">
        <f>VLOOKUP(B8, PLAYERS!C:E, 3, FALSE)</f>
        <v>#N/A</v>
      </c>
      <c r="D8">
        <f>SUMIF(PLAYERS!C:C, B8, PLAYERS!E:E)</f>
        <v>0</v>
      </c>
    </row>
    <row r="9" spans="1:20" x14ac:dyDescent="0.3">
      <c r="A9">
        <v>8</v>
      </c>
      <c r="B9" t="s">
        <v>166</v>
      </c>
      <c r="C9" t="e">
        <f>VLOOKUP(B9, PLAYERS!C:E, 3, FALSE)</f>
        <v>#N/A</v>
      </c>
      <c r="D9">
        <f>SUMIF(PLAYERS!C:C, B9, PLAYERS!E:E)</f>
        <v>0</v>
      </c>
    </row>
    <row r="10" spans="1:20" x14ac:dyDescent="0.3">
      <c r="A10">
        <v>9</v>
      </c>
      <c r="B10" t="s">
        <v>121</v>
      </c>
      <c r="C10" t="e">
        <f>VLOOKUP(B10, PLAYERS!C:E, 3, FALSE)</f>
        <v>#N/A</v>
      </c>
      <c r="D10">
        <f>SUMIF(PLAYERS!C:C, B10, PLAYERS!E:E)</f>
        <v>0</v>
      </c>
    </row>
    <row r="11" spans="1:20" x14ac:dyDescent="0.3">
      <c r="A11">
        <v>10</v>
      </c>
      <c r="B11" t="s">
        <v>122</v>
      </c>
      <c r="C11" t="e">
        <f>VLOOKUP(B11, PLAYERS!C:E, 3, FALSE)</f>
        <v>#N/A</v>
      </c>
      <c r="D11">
        <f>SUMIF(PLAYERS!C:C, B11, PLAYERS!E:E)</f>
        <v>0</v>
      </c>
    </row>
    <row r="12" spans="1:20" x14ac:dyDescent="0.3">
      <c r="A12">
        <v>11</v>
      </c>
      <c r="B12" t="s">
        <v>167</v>
      </c>
      <c r="C12" t="e">
        <f>VLOOKUP(B12, PLAYERS!C:E, 3, FALSE)</f>
        <v>#N/A</v>
      </c>
      <c r="D12">
        <f>SUMIF(PLAYERS!C:C, B12, PLAYERS!E:E)</f>
        <v>0</v>
      </c>
    </row>
    <row r="13" spans="1:20" x14ac:dyDescent="0.3">
      <c r="A13">
        <v>12</v>
      </c>
      <c r="B13" t="s">
        <v>168</v>
      </c>
      <c r="C13" t="e">
        <f>VLOOKUP(B13, PLAYERS!C:E, 3, FALSE)</f>
        <v>#N/A</v>
      </c>
      <c r="D13">
        <f>SUMIF(PLAYERS!C:C, B13, PLAYERS!E:E)</f>
        <v>0</v>
      </c>
    </row>
    <row r="14" spans="1:20" x14ac:dyDescent="0.3">
      <c r="A14">
        <v>13</v>
      </c>
      <c r="B14" t="s">
        <v>123</v>
      </c>
      <c r="C14" t="e">
        <f>VLOOKUP(B14, PLAYERS!C:E, 3, FALSE)</f>
        <v>#N/A</v>
      </c>
      <c r="D14">
        <f>SUMIF(PLAYERS!C:C, B14, PLAYERS!E:E)</f>
        <v>0</v>
      </c>
    </row>
    <row r="15" spans="1:20" x14ac:dyDescent="0.3">
      <c r="A15">
        <v>14</v>
      </c>
      <c r="B15" t="s">
        <v>169</v>
      </c>
      <c r="C15" t="e">
        <f>VLOOKUP(B15, PLAYERS!C:E, 3, FALSE)</f>
        <v>#N/A</v>
      </c>
      <c r="D15">
        <f>SUMIF(PLAYERS!C:C, B15, PLAYERS!E:E)</f>
        <v>0</v>
      </c>
    </row>
    <row r="16" spans="1:20" x14ac:dyDescent="0.3">
      <c r="A16">
        <v>15</v>
      </c>
      <c r="B16" t="s">
        <v>170</v>
      </c>
      <c r="C16" t="e">
        <f>VLOOKUP(B16, PLAYERS!C:E, 3, FALSE)</f>
        <v>#N/A</v>
      </c>
      <c r="D16">
        <f>SUMIF(PLAYERS!C:C, B16, PLAYERS!E:E)</f>
        <v>0</v>
      </c>
    </row>
    <row r="17" spans="1:4" x14ac:dyDescent="0.3">
      <c r="A17">
        <v>16</v>
      </c>
      <c r="B17" t="s">
        <v>124</v>
      </c>
      <c r="C17" t="e">
        <f>VLOOKUP(B17, PLAYERS!C:E, 3, FALSE)</f>
        <v>#N/A</v>
      </c>
      <c r="D17">
        <f>SUMIF(PLAYERS!C:C, B17, PLAYERS!E:E)</f>
        <v>0</v>
      </c>
    </row>
    <row r="18" spans="1:4" x14ac:dyDescent="0.3">
      <c r="A18">
        <v>17</v>
      </c>
      <c r="B18" t="s">
        <v>125</v>
      </c>
      <c r="C18" t="e">
        <f>VLOOKUP(B18, PLAYERS!C:E, 3, FALSE)</f>
        <v>#N/A</v>
      </c>
      <c r="D18">
        <f>SUMIF(PLAYERS!C:C, B18, PLAYERS!E:E)</f>
        <v>0</v>
      </c>
    </row>
    <row r="19" spans="1:4" x14ac:dyDescent="0.3">
      <c r="A19">
        <v>18</v>
      </c>
      <c r="B19" t="s">
        <v>171</v>
      </c>
      <c r="C19" t="e">
        <f>VLOOKUP(B19, PLAYERS!C:E, 3, FALSE)</f>
        <v>#N/A</v>
      </c>
      <c r="D19">
        <f>SUMIF(PLAYERS!C:C, B19, PLAYERS!E:E)</f>
        <v>0</v>
      </c>
    </row>
    <row r="20" spans="1:4" x14ac:dyDescent="0.3">
      <c r="A20">
        <v>19</v>
      </c>
      <c r="B20" t="s">
        <v>126</v>
      </c>
      <c r="C20" t="e">
        <f>VLOOKUP(B20, PLAYERS!C:E, 3, FALSE)</f>
        <v>#N/A</v>
      </c>
      <c r="D20">
        <f>SUMIF(PLAYERS!C:C, B20, PLAYERS!E:E)</f>
        <v>0</v>
      </c>
    </row>
    <row r="21" spans="1:4" x14ac:dyDescent="0.3">
      <c r="A21">
        <v>20</v>
      </c>
      <c r="B21" t="s">
        <v>127</v>
      </c>
      <c r="C21" t="e">
        <f>VLOOKUP(B21, PLAYERS!C:E, 3, FALSE)</f>
        <v>#N/A</v>
      </c>
      <c r="D21">
        <f>SUMIF(PLAYERS!C:C, B21, PLAYERS!E:E)</f>
        <v>0</v>
      </c>
    </row>
    <row r="22" spans="1:4" x14ac:dyDescent="0.3">
      <c r="A22">
        <v>21</v>
      </c>
      <c r="B22" t="s">
        <v>128</v>
      </c>
      <c r="C22" t="e">
        <f>VLOOKUP(B22, PLAYERS!C:E, 3, FALSE)</f>
        <v>#N/A</v>
      </c>
      <c r="D22">
        <f>SUMIF(PLAYERS!C:C, B22, PLAYERS!E:E)</f>
        <v>0</v>
      </c>
    </row>
    <row r="23" spans="1:4" x14ac:dyDescent="0.3">
      <c r="A23">
        <v>22</v>
      </c>
      <c r="B23" t="s">
        <v>172</v>
      </c>
      <c r="C23" t="e">
        <f>VLOOKUP(B23, PLAYERS!C:E, 3, FALSE)</f>
        <v>#N/A</v>
      </c>
      <c r="D23">
        <f>SUMIF(PLAYERS!C:C, B23, PLAYERS!E:E)</f>
        <v>0</v>
      </c>
    </row>
    <row r="24" spans="1:4" x14ac:dyDescent="0.3">
      <c r="A24">
        <v>23</v>
      </c>
      <c r="B24" t="s">
        <v>129</v>
      </c>
      <c r="C24" t="e">
        <f>VLOOKUP(B24, PLAYERS!C:E, 3, FALSE)</f>
        <v>#N/A</v>
      </c>
      <c r="D24">
        <f>SUMIF(PLAYERS!C:C, B24, PLAYERS!E:E)</f>
        <v>0</v>
      </c>
    </row>
    <row r="25" spans="1:4" x14ac:dyDescent="0.3">
      <c r="A25">
        <v>24</v>
      </c>
      <c r="B25" t="s">
        <v>130</v>
      </c>
      <c r="C25" t="e">
        <f>VLOOKUP(B25, PLAYERS!C:E, 3, FALSE)</f>
        <v>#N/A</v>
      </c>
      <c r="D25">
        <f>SUMIF(PLAYERS!C:C, B25, PLAYERS!E:E)</f>
        <v>0</v>
      </c>
    </row>
    <row r="26" spans="1:4" x14ac:dyDescent="0.3">
      <c r="A26">
        <v>25</v>
      </c>
      <c r="B26" t="s">
        <v>131</v>
      </c>
      <c r="C26">
        <f>VLOOKUP(B26, PLAYERS!C:E, 3, FALSE)</f>
        <v>3</v>
      </c>
      <c r="D26">
        <f>SUMIF(PLAYERS!C:C, B26, PLAYERS!E:E)</f>
        <v>3</v>
      </c>
    </row>
    <row r="27" spans="1:4" x14ac:dyDescent="0.3">
      <c r="A27">
        <v>26</v>
      </c>
      <c r="B27" t="s">
        <v>132</v>
      </c>
      <c r="C27" t="e">
        <f>VLOOKUP(B27, PLAYERS!C:E, 3, FALSE)</f>
        <v>#N/A</v>
      </c>
      <c r="D27">
        <f>SUMIF(PLAYERS!C:C, B27, PLAYERS!E:E)</f>
        <v>0</v>
      </c>
    </row>
    <row r="28" spans="1:4" x14ac:dyDescent="0.3">
      <c r="A28">
        <v>27</v>
      </c>
      <c r="B28" t="s">
        <v>133</v>
      </c>
      <c r="C28" t="e">
        <f>VLOOKUP(B28, PLAYERS!C:E, 3, FALSE)</f>
        <v>#N/A</v>
      </c>
      <c r="D28">
        <f>SUMIF(PLAYERS!C:C, B28, PLAYERS!E:E)</f>
        <v>0</v>
      </c>
    </row>
    <row r="29" spans="1:4" x14ac:dyDescent="0.3">
      <c r="A29">
        <v>28</v>
      </c>
      <c r="B29" t="s">
        <v>134</v>
      </c>
      <c r="C29" t="e">
        <f>VLOOKUP(B29, PLAYERS!C:E, 3, FALSE)</f>
        <v>#N/A</v>
      </c>
      <c r="D29">
        <f>SUMIF(PLAYERS!C:C, B29, PLAYERS!E:E)</f>
        <v>0</v>
      </c>
    </row>
    <row r="30" spans="1:4" x14ac:dyDescent="0.3">
      <c r="A30">
        <v>29</v>
      </c>
      <c r="B30" t="s">
        <v>135</v>
      </c>
      <c r="C30" t="e">
        <f>VLOOKUP(B30, PLAYERS!C:E, 3, FALSE)</f>
        <v>#N/A</v>
      </c>
      <c r="D30">
        <f>SUMIF(PLAYERS!C:C, B30, PLAYERS!E:E)</f>
        <v>0</v>
      </c>
    </row>
    <row r="31" spans="1:4" x14ac:dyDescent="0.3">
      <c r="A31">
        <v>30</v>
      </c>
      <c r="B31" t="s">
        <v>136</v>
      </c>
      <c r="C31" t="e">
        <f>VLOOKUP(B31, PLAYERS!C:E, 3, FALSE)</f>
        <v>#N/A</v>
      </c>
      <c r="D31">
        <f>SUMIF(PLAYERS!C:C, B31, PLAYERS!E:E)</f>
        <v>0</v>
      </c>
    </row>
    <row r="32" spans="1:4" x14ac:dyDescent="0.3">
      <c r="A32">
        <v>31</v>
      </c>
      <c r="B32" t="s">
        <v>137</v>
      </c>
      <c r="C32" t="e">
        <f>VLOOKUP(B32, PLAYERS!C:E, 3, FALSE)</f>
        <v>#N/A</v>
      </c>
      <c r="D32">
        <f>SUMIF(PLAYERS!C:C, B32, PLAYERS!E:E)</f>
        <v>0</v>
      </c>
    </row>
    <row r="33" spans="1:4" x14ac:dyDescent="0.3">
      <c r="A33">
        <v>32</v>
      </c>
      <c r="B33" t="s">
        <v>138</v>
      </c>
      <c r="C33">
        <f>VLOOKUP(B33, PLAYERS!C:E, 3, FALSE)</f>
        <v>20</v>
      </c>
      <c r="D33">
        <f>SUMIF(PLAYERS!C:C, B33, PLAYERS!E:E)</f>
        <v>20</v>
      </c>
    </row>
    <row r="34" spans="1:4" x14ac:dyDescent="0.3">
      <c r="A34">
        <v>33</v>
      </c>
      <c r="B34" t="s">
        <v>193</v>
      </c>
      <c r="C34" t="e">
        <f>VLOOKUP(B34, PLAYERS!C:E, 3, FALSE)</f>
        <v>#N/A</v>
      </c>
      <c r="D34">
        <f>SUMIF(PLAYERS!C:C, B34, PLAYERS!E:E)</f>
        <v>0</v>
      </c>
    </row>
    <row r="35" spans="1:4" x14ac:dyDescent="0.3">
      <c r="A35">
        <v>34</v>
      </c>
      <c r="B35" t="s">
        <v>139</v>
      </c>
      <c r="C35">
        <f>VLOOKUP(B35, PLAYERS!C:E, 3, FALSE)</f>
        <v>21</v>
      </c>
      <c r="D35">
        <f>SUMIF(PLAYERS!C:C, B35, PLAYERS!E:E)</f>
        <v>21</v>
      </c>
    </row>
    <row r="36" spans="1:4" x14ac:dyDescent="0.3">
      <c r="A36">
        <v>35</v>
      </c>
      <c r="B36" t="s">
        <v>140</v>
      </c>
      <c r="C36" t="e">
        <f>VLOOKUP(B36, PLAYERS!C:E, 3, FALSE)</f>
        <v>#N/A</v>
      </c>
      <c r="D36">
        <f>SUMIF(PLAYERS!C:C, B36, PLAYERS!E:E)</f>
        <v>0</v>
      </c>
    </row>
    <row r="37" spans="1:4" x14ac:dyDescent="0.3">
      <c r="A37">
        <v>36</v>
      </c>
      <c r="B37" t="s">
        <v>141</v>
      </c>
      <c r="C37">
        <f>VLOOKUP(B37, PLAYERS!C:E, 3, FALSE)</f>
        <v>2</v>
      </c>
      <c r="D37">
        <f>SUMIF(PLAYERS!C:C, B37, PLAYERS!E:E)</f>
        <v>2</v>
      </c>
    </row>
    <row r="38" spans="1:4" x14ac:dyDescent="0.3">
      <c r="A38">
        <v>37</v>
      </c>
      <c r="B38" t="s">
        <v>176</v>
      </c>
      <c r="C38" t="e">
        <f>VLOOKUP(B38, PLAYERS!C:E, 3, FALSE)</f>
        <v>#N/A</v>
      </c>
      <c r="D38">
        <f>SUMIF(PLAYERS!C:C, B38, PLAYERS!E:E)</f>
        <v>0</v>
      </c>
    </row>
    <row r="39" spans="1:4" x14ac:dyDescent="0.3">
      <c r="A39">
        <v>38</v>
      </c>
      <c r="B39" t="s">
        <v>173</v>
      </c>
      <c r="C39" t="e">
        <f>VLOOKUP(B39, PLAYERS!C:E, 3, FALSE)</f>
        <v>#N/A</v>
      </c>
      <c r="D39">
        <f>SUMIF(PLAYERS!C:C, B39, PLAYERS!E:E)</f>
        <v>0</v>
      </c>
    </row>
    <row r="40" spans="1:4" x14ac:dyDescent="0.3">
      <c r="A40">
        <v>39</v>
      </c>
      <c r="B40" t="s">
        <v>174</v>
      </c>
      <c r="C40" t="e">
        <f>VLOOKUP(B40, PLAYERS!C:E, 3, FALSE)</f>
        <v>#N/A</v>
      </c>
      <c r="D40">
        <f>SUMIF(PLAYERS!C:C, B40, PLAYERS!E:E)</f>
        <v>0</v>
      </c>
    </row>
    <row r="41" spans="1:4" x14ac:dyDescent="0.3">
      <c r="A41">
        <v>40</v>
      </c>
      <c r="B41" t="s">
        <v>142</v>
      </c>
      <c r="C41" t="e">
        <f>VLOOKUP(B41, PLAYERS!C:E, 3, FALSE)</f>
        <v>#N/A</v>
      </c>
      <c r="D41">
        <f>SUMIF(PLAYERS!C:C, B41, PLAYERS!E:E)</f>
        <v>0</v>
      </c>
    </row>
    <row r="42" spans="1:4" x14ac:dyDescent="0.3">
      <c r="A42">
        <v>41</v>
      </c>
      <c r="B42" t="s">
        <v>178</v>
      </c>
      <c r="C42" t="e">
        <f>VLOOKUP(B42, PLAYERS!C:E, 3, FALSE)</f>
        <v>#N/A</v>
      </c>
      <c r="D42">
        <f>SUMIF(PLAYERS!C:C, B42, PLAYERS!E:E)</f>
        <v>0</v>
      </c>
    </row>
    <row r="43" spans="1:4" x14ac:dyDescent="0.3">
      <c r="A43">
        <v>42</v>
      </c>
      <c r="B43" t="s">
        <v>143</v>
      </c>
      <c r="C43">
        <f>VLOOKUP(B43, PLAYERS!C:E, 3, FALSE)</f>
        <v>24</v>
      </c>
      <c r="D43">
        <f>SUMIF(PLAYERS!C:C, B43, PLAYERS!E:E)</f>
        <v>24</v>
      </c>
    </row>
    <row r="44" spans="1:4" x14ac:dyDescent="0.3">
      <c r="A44">
        <v>43</v>
      </c>
      <c r="B44" t="s">
        <v>175</v>
      </c>
      <c r="C44" t="e">
        <f>VLOOKUP(B44, PLAYERS!C:E, 3, FALSE)</f>
        <v>#N/A</v>
      </c>
      <c r="D44">
        <f>SUMIF(PLAYERS!C:C, B44, PLAYERS!E:E)</f>
        <v>0</v>
      </c>
    </row>
    <row r="45" spans="1:4" x14ac:dyDescent="0.3">
      <c r="A45">
        <v>44</v>
      </c>
      <c r="B45" t="s">
        <v>177</v>
      </c>
      <c r="C45" t="e">
        <f>VLOOKUP(B45, PLAYERS!C:E, 3, FALSE)</f>
        <v>#N/A</v>
      </c>
      <c r="D45">
        <f>SUMIF(PLAYERS!C:C, B45, PLAYERS!E:E)</f>
        <v>0</v>
      </c>
    </row>
    <row r="46" spans="1:4" x14ac:dyDescent="0.3">
      <c r="A46">
        <v>45</v>
      </c>
      <c r="B46" t="s">
        <v>179</v>
      </c>
      <c r="C46" t="e">
        <f>VLOOKUP(B46, PLAYERS!C:E, 3, FALSE)</f>
        <v>#N/A</v>
      </c>
      <c r="D46">
        <f>SUMIF(PLAYERS!C:C, B46, PLAYERS!E:E)</f>
        <v>0</v>
      </c>
    </row>
    <row r="47" spans="1:4" x14ac:dyDescent="0.3">
      <c r="A47">
        <v>46</v>
      </c>
      <c r="B47" t="s">
        <v>144</v>
      </c>
      <c r="C47" t="e">
        <f>VLOOKUP(B47, PLAYERS!C:E, 3, FALSE)</f>
        <v>#N/A</v>
      </c>
      <c r="D47">
        <f>SUMIF(PLAYERS!C:C, B47, PLAYERS!E:E)</f>
        <v>0</v>
      </c>
    </row>
    <row r="48" spans="1:4" x14ac:dyDescent="0.3">
      <c r="A48">
        <v>47</v>
      </c>
      <c r="B48" t="s">
        <v>180</v>
      </c>
      <c r="C48" t="e">
        <f>VLOOKUP(B48, PLAYERS!C:E, 3, FALSE)</f>
        <v>#N/A</v>
      </c>
      <c r="D48">
        <f>SUMIF(PLAYERS!C:C, B48, PLAYERS!E:E)</f>
        <v>0</v>
      </c>
    </row>
    <row r="49" spans="1:4" x14ac:dyDescent="0.3">
      <c r="A49">
        <v>48</v>
      </c>
      <c r="B49" t="s">
        <v>145</v>
      </c>
      <c r="C49" t="e">
        <f>VLOOKUP(B49, PLAYERS!C:E, 3, FALSE)</f>
        <v>#N/A</v>
      </c>
      <c r="D49">
        <f>SUMIF(PLAYERS!C:C, B49, PLAYERS!E:E)</f>
        <v>0</v>
      </c>
    </row>
    <row r="50" spans="1:4" x14ac:dyDescent="0.3">
      <c r="A50">
        <v>49</v>
      </c>
      <c r="B50" t="s">
        <v>146</v>
      </c>
      <c r="C50" t="e">
        <f>VLOOKUP(B50, PLAYERS!C:E, 3, FALSE)</f>
        <v>#N/A</v>
      </c>
      <c r="D50">
        <f>SUMIF(PLAYERS!C:C, B50, PLAYERS!E:E)</f>
        <v>0</v>
      </c>
    </row>
    <row r="51" spans="1:4" x14ac:dyDescent="0.3">
      <c r="A51">
        <v>50</v>
      </c>
      <c r="B51" t="s">
        <v>147</v>
      </c>
      <c r="C51" t="e">
        <f>VLOOKUP(B51, PLAYERS!C:E, 3, FALSE)</f>
        <v>#N/A</v>
      </c>
      <c r="D51">
        <f>SUMIF(PLAYERS!C:C, B51, PLAYERS!E:E)</f>
        <v>0</v>
      </c>
    </row>
    <row r="52" spans="1:4" x14ac:dyDescent="0.3">
      <c r="A52">
        <v>51</v>
      </c>
      <c r="B52" t="s">
        <v>148</v>
      </c>
      <c r="C52" t="e">
        <f>VLOOKUP(B52, PLAYERS!C:E, 3, FALSE)</f>
        <v>#N/A</v>
      </c>
      <c r="D52">
        <f>SUMIF(PLAYERS!C:C, B52, PLAYERS!E:E)</f>
        <v>0</v>
      </c>
    </row>
    <row r="53" spans="1:4" x14ac:dyDescent="0.3">
      <c r="A53">
        <v>52</v>
      </c>
      <c r="B53" t="s">
        <v>181</v>
      </c>
      <c r="C53" t="e">
        <f>VLOOKUP(B53, PLAYERS!C:E, 3, FALSE)</f>
        <v>#N/A</v>
      </c>
      <c r="D53">
        <f>SUMIF(PLAYERS!C:C, B53, PLAYERS!E:E)</f>
        <v>0</v>
      </c>
    </row>
    <row r="54" spans="1:4" x14ac:dyDescent="0.3">
      <c r="A54">
        <v>53</v>
      </c>
      <c r="B54" t="s">
        <v>149</v>
      </c>
      <c r="C54" t="e">
        <f>VLOOKUP(B54, PLAYERS!C:E, 3, FALSE)</f>
        <v>#N/A</v>
      </c>
      <c r="D54">
        <f>SUMIF(PLAYERS!C:C, B54, PLAYERS!E:E)</f>
        <v>0</v>
      </c>
    </row>
    <row r="55" spans="1:4" x14ac:dyDescent="0.3">
      <c r="A55">
        <v>54</v>
      </c>
      <c r="B55" t="s">
        <v>150</v>
      </c>
      <c r="C55" t="e">
        <f>VLOOKUP(B55, PLAYERS!C:E, 3, FALSE)</f>
        <v>#N/A</v>
      </c>
      <c r="D55">
        <f>SUMIF(PLAYERS!C:C, B55, PLAYERS!E:E)</f>
        <v>0</v>
      </c>
    </row>
    <row r="56" spans="1:4" x14ac:dyDescent="0.3">
      <c r="A56">
        <v>55</v>
      </c>
      <c r="B56" t="s">
        <v>151</v>
      </c>
      <c r="C56" t="e">
        <f>VLOOKUP(B56, PLAYERS!C:E, 3, FALSE)</f>
        <v>#N/A</v>
      </c>
      <c r="D56">
        <f>SUMIF(PLAYERS!C:C, B56, PLAYERS!E:E)</f>
        <v>0</v>
      </c>
    </row>
    <row r="57" spans="1:4" x14ac:dyDescent="0.3">
      <c r="A57">
        <v>56</v>
      </c>
      <c r="B57" t="s">
        <v>182</v>
      </c>
      <c r="C57" t="e">
        <f>VLOOKUP(B57, PLAYERS!C:E, 3, FALSE)</f>
        <v>#N/A</v>
      </c>
      <c r="D57">
        <f>SUMIF(PLAYERS!C:C, B57, PLAYERS!E:E)</f>
        <v>0</v>
      </c>
    </row>
    <row r="58" spans="1:4" x14ac:dyDescent="0.3">
      <c r="A58">
        <v>57</v>
      </c>
      <c r="B58" t="s">
        <v>183</v>
      </c>
      <c r="C58" t="e">
        <f>VLOOKUP(B58, PLAYERS!C:E, 3, FALSE)</f>
        <v>#N/A</v>
      </c>
      <c r="D58">
        <f>SUMIF(PLAYERS!C:C, B58, PLAYERS!E:E)</f>
        <v>0</v>
      </c>
    </row>
    <row r="59" spans="1:4" x14ac:dyDescent="0.3">
      <c r="A59">
        <v>58</v>
      </c>
      <c r="B59" t="s">
        <v>152</v>
      </c>
      <c r="C59" t="e">
        <f>VLOOKUP(B59, PLAYERS!C:E, 3, FALSE)</f>
        <v>#N/A</v>
      </c>
      <c r="D59">
        <f>SUMIF(PLAYERS!C:C, B59, PLAYERS!E:E)</f>
        <v>0</v>
      </c>
    </row>
    <row r="60" spans="1:4" x14ac:dyDescent="0.3">
      <c r="A60">
        <v>59</v>
      </c>
      <c r="B60" t="s">
        <v>153</v>
      </c>
      <c r="C60">
        <f>VLOOKUP(B60, PLAYERS!C:E, 3, FALSE)</f>
        <v>25</v>
      </c>
      <c r="D60">
        <f>SUMIF(PLAYERS!C:C, B60, PLAYERS!E:E)</f>
        <v>25</v>
      </c>
    </row>
    <row r="61" spans="1:4" x14ac:dyDescent="0.3">
      <c r="A61">
        <v>60</v>
      </c>
      <c r="B61" t="s">
        <v>154</v>
      </c>
      <c r="C61" t="e">
        <f>VLOOKUP(B61, PLAYERS!C:E, 3, FALSE)</f>
        <v>#N/A</v>
      </c>
      <c r="D61">
        <f>SUMIF(PLAYERS!C:C, B61, PLAYERS!E:E)</f>
        <v>0</v>
      </c>
    </row>
    <row r="62" spans="1:4" x14ac:dyDescent="0.3">
      <c r="A62">
        <v>61</v>
      </c>
      <c r="B62" t="s">
        <v>184</v>
      </c>
      <c r="C62" t="e">
        <f>VLOOKUP(B62, PLAYERS!C:E, 3, FALSE)</f>
        <v>#N/A</v>
      </c>
      <c r="D62">
        <f>SUMIF(PLAYERS!C:C, B62, PLAYERS!E:E)</f>
        <v>0</v>
      </c>
    </row>
    <row r="63" spans="1:4" x14ac:dyDescent="0.3">
      <c r="A63">
        <v>62</v>
      </c>
      <c r="B63" t="s">
        <v>155</v>
      </c>
      <c r="C63" t="e">
        <f>VLOOKUP(B63, PLAYERS!C:E, 3, FALSE)</f>
        <v>#N/A</v>
      </c>
      <c r="D63">
        <f>SUMIF(PLAYERS!C:C, B63, PLAYERS!E:E)</f>
        <v>0</v>
      </c>
    </row>
    <row r="64" spans="1:4" x14ac:dyDescent="0.3">
      <c r="A64">
        <v>63</v>
      </c>
      <c r="B64" t="s">
        <v>185</v>
      </c>
      <c r="C64" t="e">
        <f>VLOOKUP(B64, PLAYERS!C:E, 3, FALSE)</f>
        <v>#N/A</v>
      </c>
      <c r="D64">
        <f>SUMIF(PLAYERS!C:C, B64, PLAYERS!E:E)</f>
        <v>0</v>
      </c>
    </row>
    <row r="65" spans="1:4" x14ac:dyDescent="0.3">
      <c r="A65">
        <v>64</v>
      </c>
      <c r="B65" t="s">
        <v>156</v>
      </c>
      <c r="C65" t="e">
        <f>VLOOKUP(B65, PLAYERS!C:E, 3, FALSE)</f>
        <v>#N/A</v>
      </c>
      <c r="D65">
        <f>SUMIF(PLAYERS!C:C, B65, PLAYERS!E:E)</f>
        <v>0</v>
      </c>
    </row>
    <row r="66" spans="1:4" x14ac:dyDescent="0.3">
      <c r="A66">
        <v>65</v>
      </c>
      <c r="B66" t="s">
        <v>186</v>
      </c>
      <c r="C66" t="e">
        <f>VLOOKUP(B66, PLAYERS!C:E, 3, FALSE)</f>
        <v>#N/A</v>
      </c>
      <c r="D66">
        <f>SUMIF(PLAYERS!C:C, B66, PLAYERS!E:E)</f>
        <v>0</v>
      </c>
    </row>
    <row r="67" spans="1:4" x14ac:dyDescent="0.3">
      <c r="A67">
        <v>66</v>
      </c>
      <c r="B67" t="s">
        <v>187</v>
      </c>
      <c r="C67" t="e">
        <f>VLOOKUP(B67, PLAYERS!C:E, 3, FALSE)</f>
        <v>#N/A</v>
      </c>
      <c r="D67">
        <f>SUMIF(PLAYERS!C:C, B67, PLAYERS!E:E)</f>
        <v>0</v>
      </c>
    </row>
    <row r="68" spans="1:4" x14ac:dyDescent="0.3">
      <c r="A68">
        <v>67</v>
      </c>
      <c r="B68" t="s">
        <v>157</v>
      </c>
      <c r="C68" t="e">
        <f>VLOOKUP(B68, PLAYERS!C:E, 3, FALSE)</f>
        <v>#N/A</v>
      </c>
      <c r="D68">
        <f>SUMIF(PLAYERS!C:C, B68, PLAYERS!E:E)</f>
        <v>0</v>
      </c>
    </row>
    <row r="69" spans="1:4" x14ac:dyDescent="0.3">
      <c r="A69">
        <v>68</v>
      </c>
      <c r="B69" t="s">
        <v>188</v>
      </c>
      <c r="C69" t="e">
        <f>VLOOKUP(B69, PLAYERS!C:E, 3, FALSE)</f>
        <v>#N/A</v>
      </c>
      <c r="D69">
        <f>SUMIF(PLAYERS!C:C, B69, PLAYERS!E:E)</f>
        <v>0</v>
      </c>
    </row>
    <row r="70" spans="1:4" x14ac:dyDescent="0.3">
      <c r="A70">
        <v>69</v>
      </c>
      <c r="B70" t="s">
        <v>158</v>
      </c>
      <c r="C70" t="e">
        <f>VLOOKUP(B70, PLAYERS!C:E, 3, FALSE)</f>
        <v>#N/A</v>
      </c>
      <c r="D70">
        <f>SUMIF(PLAYERS!C:C, B70, PLAYERS!E:E)</f>
        <v>0</v>
      </c>
    </row>
    <row r="71" spans="1:4" x14ac:dyDescent="0.3">
      <c r="A71">
        <v>70</v>
      </c>
      <c r="B71" t="s">
        <v>159</v>
      </c>
      <c r="C71" t="e">
        <f>VLOOKUP(B71, PLAYERS!C:E, 3, FALSE)</f>
        <v>#N/A</v>
      </c>
      <c r="D71">
        <f>SUMIF(PLAYERS!C:C, B71, PLAYERS!E:E)</f>
        <v>0</v>
      </c>
    </row>
    <row r="72" spans="1:4" x14ac:dyDescent="0.3">
      <c r="A72">
        <v>71</v>
      </c>
      <c r="B72" t="s">
        <v>160</v>
      </c>
      <c r="C72">
        <f>VLOOKUP(B72, PLAYERS!C:E, 3, FALSE)</f>
        <v>16</v>
      </c>
      <c r="D72">
        <f>SUMIF(PLAYERS!C:C, B72, PLAYERS!E:E)</f>
        <v>16</v>
      </c>
    </row>
    <row r="73" spans="1:4" x14ac:dyDescent="0.3">
      <c r="A73">
        <v>72</v>
      </c>
      <c r="B73" t="s">
        <v>161</v>
      </c>
      <c r="C73">
        <f>VLOOKUP(B73, PLAYERS!C:E, 3, FALSE)</f>
        <v>7</v>
      </c>
      <c r="D73">
        <f>SUMIF(PLAYERS!C:C, B73, PLAYERS!E:E)</f>
        <v>7</v>
      </c>
    </row>
    <row r="74" spans="1:4" x14ac:dyDescent="0.3">
      <c r="A74">
        <v>73</v>
      </c>
      <c r="B74" t="s">
        <v>162</v>
      </c>
      <c r="C74" t="e">
        <f>VLOOKUP(B74, PLAYERS!C:E, 3, FALSE)</f>
        <v>#N/A</v>
      </c>
      <c r="D74">
        <f>SUMIF(PLAYERS!C:C, B74, PLAYERS!E:E)</f>
        <v>0</v>
      </c>
    </row>
    <row r="75" spans="1:4" x14ac:dyDescent="0.3">
      <c r="A75">
        <v>74</v>
      </c>
      <c r="B75" t="s">
        <v>163</v>
      </c>
      <c r="C75" t="e">
        <f>VLOOKUP(B75, PLAYERS!C:E, 3, FALSE)</f>
        <v>#N/A</v>
      </c>
      <c r="D75">
        <f>SUMIF(PLAYERS!C:C, B75, PLAYERS!E:E)</f>
        <v>0</v>
      </c>
    </row>
    <row r="76" spans="1:4" x14ac:dyDescent="0.3">
      <c r="A76">
        <v>75</v>
      </c>
      <c r="B76" t="s">
        <v>164</v>
      </c>
      <c r="C76" t="e">
        <f>VLOOKUP(B76, PLAYERS!C:E, 3, FALSE)</f>
        <v>#N/A</v>
      </c>
      <c r="D76">
        <f>SUMIF(PLAYERS!C:C, B76, PLAYERS!E:E)</f>
        <v>0</v>
      </c>
    </row>
    <row r="77" spans="1:4" x14ac:dyDescent="0.3">
      <c r="A77">
        <v>76</v>
      </c>
      <c r="B77" t="s">
        <v>165</v>
      </c>
      <c r="C77" t="e">
        <f>VLOOKUP(B77, PLAYERS!C:E, 3, FALSE)</f>
        <v>#N/A</v>
      </c>
      <c r="D77">
        <f>SUMIF(PLAYERS!C:C, B77, PLAYERS!E:E)</f>
        <v>0</v>
      </c>
    </row>
    <row r="78" spans="1:4" x14ac:dyDescent="0.3">
      <c r="A78">
        <v>77</v>
      </c>
      <c r="B78" t="s">
        <v>192</v>
      </c>
      <c r="C78">
        <f>VLOOKUP(B78, PLAYERS!C:E, 3, FALSE)</f>
        <v>10</v>
      </c>
      <c r="D78">
        <f>SUMIF(PLAYERS!C:C, B78, PLAYERS!E:E)</f>
        <v>28</v>
      </c>
    </row>
    <row r="79" spans="1:4" x14ac:dyDescent="0.3">
      <c r="A79">
        <v>78</v>
      </c>
      <c r="B79" t="s">
        <v>190</v>
      </c>
      <c r="C79" t="e">
        <f>VLOOKUP(B79, PLAYERS!C:E, 3, FALSE)</f>
        <v>#N/A</v>
      </c>
      <c r="D79">
        <f>SUMIF(PLAYERS!C:C, B79, PLAYERS!E:E)</f>
        <v>0</v>
      </c>
    </row>
    <row r="80" spans="1:4" x14ac:dyDescent="0.3">
      <c r="A80">
        <v>79</v>
      </c>
      <c r="B80" t="s">
        <v>189</v>
      </c>
      <c r="C80" t="e">
        <f>VLOOKUP(B80, PLAYERS!C:E, 3, FALSE)</f>
        <v>#N/A</v>
      </c>
      <c r="D80">
        <f>SUMIF(PLAYERS!C:C, B80, PLAYERS!E:E)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"/>
  <sheetViews>
    <sheetView workbookViewId="0">
      <selection activeCell="C3" sqref="C3:E8"/>
    </sheetView>
  </sheetViews>
  <sheetFormatPr defaultRowHeight="14.4" x14ac:dyDescent="0.3"/>
  <cols>
    <col min="1" max="1" width="10.109375" customWidth="1"/>
    <col min="2" max="2" width="20.5546875" customWidth="1"/>
    <col min="3" max="3" width="14.5546875" customWidth="1"/>
    <col min="4" max="4" width="6.33203125" customWidth="1"/>
    <col min="5" max="5" width="22.6640625" customWidth="1"/>
    <col min="6" max="6" width="16.88671875" customWidth="1"/>
    <col min="7" max="7" width="38.33203125" customWidth="1"/>
    <col min="8" max="9" width="10.109375" customWidth="1"/>
    <col min="10" max="22" width="11.109375" customWidth="1"/>
  </cols>
  <sheetData>
    <row r="1" spans="1:22" x14ac:dyDescent="0.3">
      <c r="A1" t="s">
        <v>23</v>
      </c>
      <c r="B1" t="s">
        <v>24</v>
      </c>
      <c r="C1" t="s">
        <v>112</v>
      </c>
      <c r="D1" s="1" t="s">
        <v>113</v>
      </c>
      <c r="E1" s="1" t="s">
        <v>195</v>
      </c>
      <c r="F1" s="1" t="s">
        <v>196</v>
      </c>
      <c r="G1" s="1" t="s">
        <v>201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8" x14ac:dyDescent="0.35">
      <c r="A2">
        <v>1</v>
      </c>
      <c r="B2" t="s">
        <v>25</v>
      </c>
      <c r="C2" t="s">
        <v>114</v>
      </c>
      <c r="D2" s="1"/>
      <c r="E2" s="9">
        <v>6</v>
      </c>
      <c r="F2" s="5" t="s">
        <v>198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x14ac:dyDescent="0.35">
      <c r="A3">
        <v>2</v>
      </c>
      <c r="B3" t="s">
        <v>26</v>
      </c>
      <c r="C3" t="s">
        <v>192</v>
      </c>
      <c r="E3" s="9">
        <v>10</v>
      </c>
      <c r="F3" s="5" t="s">
        <v>198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" x14ac:dyDescent="0.35">
      <c r="A4">
        <v>3</v>
      </c>
      <c r="B4" t="s">
        <v>27</v>
      </c>
      <c r="C4" t="s">
        <v>143</v>
      </c>
      <c r="E4" s="9">
        <v>24</v>
      </c>
      <c r="F4" s="5" t="s">
        <v>198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35">
      <c r="A5">
        <v>4</v>
      </c>
      <c r="B5" t="s">
        <v>28</v>
      </c>
      <c r="C5" t="s">
        <v>138</v>
      </c>
      <c r="E5" s="9">
        <v>20</v>
      </c>
      <c r="F5" s="5" t="s">
        <v>198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35">
      <c r="A6">
        <v>5</v>
      </c>
      <c r="B6" t="s">
        <v>29</v>
      </c>
      <c r="C6" t="s">
        <v>131</v>
      </c>
      <c r="E6" s="9">
        <v>3</v>
      </c>
      <c r="F6" s="5" t="s">
        <v>198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35">
      <c r="A7">
        <v>6</v>
      </c>
      <c r="B7" t="s">
        <v>30</v>
      </c>
      <c r="C7" t="s">
        <v>116</v>
      </c>
      <c r="E7" s="9">
        <v>5</v>
      </c>
      <c r="F7" s="5" t="s">
        <v>198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35">
      <c r="A8">
        <v>7</v>
      </c>
      <c r="B8" t="s">
        <v>31</v>
      </c>
      <c r="C8" t="s">
        <v>192</v>
      </c>
      <c r="E8" s="9">
        <v>18</v>
      </c>
      <c r="F8" s="5" t="s">
        <v>198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35">
      <c r="A9">
        <v>8</v>
      </c>
      <c r="B9" t="s">
        <v>32</v>
      </c>
      <c r="C9" t="s">
        <v>160</v>
      </c>
      <c r="E9" s="9">
        <v>16</v>
      </c>
      <c r="F9" s="5" t="s">
        <v>198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" x14ac:dyDescent="0.35">
      <c r="A10">
        <v>9</v>
      </c>
      <c r="B10" t="s">
        <v>33</v>
      </c>
      <c r="C10" t="s">
        <v>139</v>
      </c>
      <c r="E10" s="9">
        <v>21</v>
      </c>
      <c r="F10" s="5" t="s">
        <v>198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" x14ac:dyDescent="0.35">
      <c r="A11">
        <v>10</v>
      </c>
      <c r="B11" t="s">
        <v>34</v>
      </c>
      <c r="C11" t="s">
        <v>141</v>
      </c>
      <c r="E11" s="9">
        <v>2</v>
      </c>
      <c r="F11" s="5" t="s">
        <v>198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" x14ac:dyDescent="0.35">
      <c r="A12">
        <v>11</v>
      </c>
      <c r="B12" t="s">
        <v>35</v>
      </c>
      <c r="C12" t="s">
        <v>153</v>
      </c>
      <c r="E12" s="9">
        <v>25</v>
      </c>
      <c r="F12" s="5" t="s">
        <v>198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" x14ac:dyDescent="0.35">
      <c r="A13">
        <v>12</v>
      </c>
      <c r="B13" t="s">
        <v>36</v>
      </c>
      <c r="C13" t="s">
        <v>161</v>
      </c>
      <c r="E13" s="9">
        <v>7</v>
      </c>
      <c r="F13" s="5" t="s">
        <v>198</v>
      </c>
      <c r="G13" s="1" t="s">
        <v>202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" x14ac:dyDescent="0.35">
      <c r="A14">
        <v>13</v>
      </c>
      <c r="B14" t="s">
        <v>37</v>
      </c>
      <c r="E14" s="9"/>
      <c r="F14" s="5" t="s">
        <v>198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" x14ac:dyDescent="0.35">
      <c r="A15">
        <v>14</v>
      </c>
      <c r="B15" t="s">
        <v>38</v>
      </c>
      <c r="E15" s="9"/>
      <c r="F15" s="6" t="s">
        <v>200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" x14ac:dyDescent="0.35">
      <c r="A16">
        <v>15</v>
      </c>
      <c r="B16" t="s">
        <v>39</v>
      </c>
      <c r="E16" s="4"/>
      <c r="F16" s="5" t="s">
        <v>198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x14ac:dyDescent="0.35">
      <c r="A17">
        <v>16</v>
      </c>
      <c r="B17" t="s">
        <v>40</v>
      </c>
      <c r="E17" s="8"/>
      <c r="F17" s="5" t="s">
        <v>198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x14ac:dyDescent="0.35">
      <c r="A18">
        <v>17</v>
      </c>
      <c r="B18" t="s">
        <v>41</v>
      </c>
      <c r="E18" s="8"/>
      <c r="F18" s="5" t="s">
        <v>198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" x14ac:dyDescent="0.35">
      <c r="A19">
        <v>18</v>
      </c>
      <c r="B19" t="s">
        <v>42</v>
      </c>
      <c r="E19" s="8"/>
      <c r="F19" s="7" t="s">
        <v>199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x14ac:dyDescent="0.35">
      <c r="A20">
        <v>19</v>
      </c>
      <c r="B20" t="s">
        <v>43</v>
      </c>
      <c r="E20" s="8"/>
      <c r="F20" s="5" t="s">
        <v>198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" x14ac:dyDescent="0.35">
      <c r="A21">
        <v>20</v>
      </c>
      <c r="B21" t="s">
        <v>44</v>
      </c>
      <c r="E21" s="8"/>
      <c r="F21" s="5" t="s">
        <v>198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 x14ac:dyDescent="0.3">
      <c r="A22">
        <v>21</v>
      </c>
      <c r="B22" t="s">
        <v>45</v>
      </c>
      <c r="F22" s="5" t="s">
        <v>198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 x14ac:dyDescent="0.3">
      <c r="A23">
        <v>22</v>
      </c>
      <c r="B23" t="s">
        <v>46</v>
      </c>
      <c r="F23" s="6" t="s">
        <v>200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 x14ac:dyDescent="0.3">
      <c r="A24">
        <v>23</v>
      </c>
      <c r="B24" t="s">
        <v>47</v>
      </c>
      <c r="F24" s="5" t="s">
        <v>198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 x14ac:dyDescent="0.3">
      <c r="A25">
        <v>24</v>
      </c>
      <c r="B25" t="s">
        <v>48</v>
      </c>
      <c r="F25" s="6" t="s">
        <v>200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 x14ac:dyDescent="0.3">
      <c r="A26">
        <v>25</v>
      </c>
      <c r="B26" t="s">
        <v>49</v>
      </c>
      <c r="F26" s="6" t="s">
        <v>200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3">
      <c r="A27">
        <v>26</v>
      </c>
      <c r="B27" t="s">
        <v>50</v>
      </c>
      <c r="F27" s="7" t="s">
        <v>199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6" x14ac:dyDescent="0.3">
      <c r="A28">
        <v>27</v>
      </c>
      <c r="B28" t="s">
        <v>51</v>
      </c>
      <c r="F28" s="7" t="s">
        <v>199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 x14ac:dyDescent="0.3">
      <c r="A29">
        <v>28</v>
      </c>
      <c r="B29" t="s">
        <v>52</v>
      </c>
      <c r="F29" s="5" t="s">
        <v>198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 x14ac:dyDescent="0.3">
      <c r="A30">
        <v>29</v>
      </c>
      <c r="B30" t="s">
        <v>53</v>
      </c>
      <c r="F30" s="5" t="s">
        <v>198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 x14ac:dyDescent="0.3">
      <c r="A31">
        <v>30</v>
      </c>
      <c r="B31" t="s">
        <v>54</v>
      </c>
      <c r="F31" s="5" t="s">
        <v>198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 x14ac:dyDescent="0.3">
      <c r="A32">
        <v>31</v>
      </c>
      <c r="B32" t="s">
        <v>55</v>
      </c>
      <c r="F32" s="5" t="s">
        <v>198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 x14ac:dyDescent="0.3">
      <c r="A33">
        <v>32</v>
      </c>
      <c r="B33" t="s">
        <v>56</v>
      </c>
      <c r="F33" s="5" t="s">
        <v>198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 x14ac:dyDescent="0.3">
      <c r="A34">
        <v>33</v>
      </c>
      <c r="B34" t="s">
        <v>57</v>
      </c>
      <c r="F34" s="6" t="s">
        <v>200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 x14ac:dyDescent="0.3">
      <c r="A35">
        <v>34</v>
      </c>
      <c r="B35" t="s">
        <v>58</v>
      </c>
      <c r="F35" s="5" t="s">
        <v>198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 x14ac:dyDescent="0.3">
      <c r="A36">
        <v>35</v>
      </c>
      <c r="B36" t="s">
        <v>59</v>
      </c>
      <c r="F36" s="7" t="s">
        <v>199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 x14ac:dyDescent="0.3">
      <c r="A37">
        <v>36</v>
      </c>
      <c r="B37" t="s">
        <v>60</v>
      </c>
      <c r="F37" s="7" t="s">
        <v>199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>
        <v>37</v>
      </c>
      <c r="B38" t="s">
        <v>61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>
        <v>38</v>
      </c>
      <c r="B39" t="s">
        <v>62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>
        <v>39</v>
      </c>
      <c r="B40" t="s">
        <v>63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>
        <v>40</v>
      </c>
      <c r="B41" t="s">
        <v>64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>
        <v>41</v>
      </c>
      <c r="B42" t="s">
        <v>65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>
        <v>42</v>
      </c>
      <c r="B43" t="s">
        <v>66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>
        <v>43</v>
      </c>
      <c r="B44" t="s">
        <v>67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>
        <v>44</v>
      </c>
      <c r="B45" t="s">
        <v>68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>
        <v>45</v>
      </c>
      <c r="B46" t="s">
        <v>69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>
        <v>46</v>
      </c>
      <c r="B47" t="s">
        <v>70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>
        <v>47</v>
      </c>
      <c r="B48" t="s">
        <v>71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>
        <v>48</v>
      </c>
      <c r="B49" t="s">
        <v>72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>
        <v>49</v>
      </c>
      <c r="B50" t="s">
        <v>73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>
        <v>50</v>
      </c>
      <c r="B51" t="s">
        <v>74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>
        <v>51</v>
      </c>
      <c r="B52" t="s">
        <v>75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>
        <v>52</v>
      </c>
      <c r="B53" t="s">
        <v>76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>
        <v>53</v>
      </c>
      <c r="B54" t="s">
        <v>77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>
        <v>54</v>
      </c>
      <c r="B55" t="s">
        <v>78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>
        <v>55</v>
      </c>
      <c r="B56" t="s">
        <v>79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>
        <v>56</v>
      </c>
      <c r="B57" t="s">
        <v>80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>
        <v>57</v>
      </c>
      <c r="B58" t="s">
        <v>81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>
        <v>58</v>
      </c>
      <c r="B59" t="s">
        <v>82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>
        <v>59</v>
      </c>
      <c r="B60" t="s">
        <v>83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">
      <c r="A61">
        <v>60</v>
      </c>
      <c r="B61" t="s">
        <v>84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">
      <c r="A62">
        <v>61</v>
      </c>
      <c r="B62" t="s">
        <v>85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>
        <v>62</v>
      </c>
      <c r="B63" t="s">
        <v>86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">
      <c r="A64">
        <v>63</v>
      </c>
      <c r="B64" t="s">
        <v>87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>
        <v>64</v>
      </c>
      <c r="B65" t="s">
        <v>88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>
        <v>65</v>
      </c>
      <c r="B66" t="s">
        <v>89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>
        <v>66</v>
      </c>
      <c r="B67" t="s">
        <v>90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>
        <v>67</v>
      </c>
      <c r="B68" t="s">
        <v>91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>
        <v>68</v>
      </c>
      <c r="B69" t="s">
        <v>92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>
        <v>69</v>
      </c>
      <c r="B70" t="s">
        <v>93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>
        <v>70</v>
      </c>
      <c r="B71" t="s">
        <v>94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>
        <v>71</v>
      </c>
      <c r="B72" t="s">
        <v>95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>
        <v>72</v>
      </c>
      <c r="B73" t="s">
        <v>96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">
      <c r="A74">
        <v>73</v>
      </c>
      <c r="B74" t="s">
        <v>97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>
        <v>74</v>
      </c>
      <c r="B75" t="s">
        <v>98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">
      <c r="A76">
        <v>75</v>
      </c>
      <c r="B76" t="s">
        <v>99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>
        <v>76</v>
      </c>
      <c r="B77" t="s">
        <v>100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">
      <c r="A78">
        <v>77</v>
      </c>
      <c r="B78" t="s">
        <v>101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>
        <v>78</v>
      </c>
      <c r="B79" t="s">
        <v>102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">
      <c r="A80">
        <v>79</v>
      </c>
      <c r="B80" t="s">
        <v>103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">
      <c r="A81">
        <v>80</v>
      </c>
      <c r="B81" t="s">
        <v>104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">
      <c r="A82">
        <v>81</v>
      </c>
      <c r="B82" t="s">
        <v>105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">
      <c r="A83">
        <v>82</v>
      </c>
      <c r="B83" t="s">
        <v>106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">
      <c r="A84">
        <v>83</v>
      </c>
      <c r="B84" t="s">
        <v>107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">
      <c r="A85">
        <v>84</v>
      </c>
      <c r="B85" t="s">
        <v>108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">
      <c r="A86">
        <v>85</v>
      </c>
      <c r="B86" t="s">
        <v>109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">
      <c r="A87">
        <v>86</v>
      </c>
      <c r="B87" t="s">
        <v>110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">
      <c r="A88">
        <v>87</v>
      </c>
      <c r="B88" t="s">
        <v>111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6:22" x14ac:dyDescent="0.3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6:22" x14ac:dyDescent="0.3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6:22" x14ac:dyDescent="0.3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6:22" x14ac:dyDescent="0.3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6:22" x14ac:dyDescent="0.3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6:22" x14ac:dyDescent="0.3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6:22" x14ac:dyDescent="0.3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6:22" x14ac:dyDescent="0.3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6:22" x14ac:dyDescent="0.3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6:22" x14ac:dyDescent="0.3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6:22" x14ac:dyDescent="0.3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6:22" x14ac:dyDescent="0.3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6:22" x14ac:dyDescent="0.3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6:22" x14ac:dyDescent="0.3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6:22" x14ac:dyDescent="0.3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6:22" x14ac:dyDescent="0.3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6:22" x14ac:dyDescent="0.3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6:22" x14ac:dyDescent="0.3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6:22" x14ac:dyDescent="0.3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6:22" x14ac:dyDescent="0.3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6:22" x14ac:dyDescent="0.3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6:22" x14ac:dyDescent="0.3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6:22" x14ac:dyDescent="0.3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6:22" x14ac:dyDescent="0.3"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6:22" x14ac:dyDescent="0.3"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6:22" x14ac:dyDescent="0.3"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6:22" x14ac:dyDescent="0.3"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6:22" x14ac:dyDescent="0.3"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6:22" x14ac:dyDescent="0.3"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6:22" x14ac:dyDescent="0.3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6:22" x14ac:dyDescent="0.3"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6:22" x14ac:dyDescent="0.3"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"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3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"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workbookViewId="0">
      <selection activeCell="B206" sqref="B206"/>
    </sheetView>
  </sheetViews>
  <sheetFormatPr defaultRowHeight="14.4" x14ac:dyDescent="0.3"/>
  <cols>
    <col min="1" max="1" width="10.109375" customWidth="1"/>
    <col min="2" max="2" width="26.109375" customWidth="1"/>
    <col min="3" max="9" width="10.109375" customWidth="1"/>
    <col min="10" max="18" width="11.109375" customWidth="1"/>
  </cols>
  <sheetData>
    <row r="1" spans="1:18" x14ac:dyDescent="0.3">
      <c r="A1" t="s">
        <v>191</v>
      </c>
      <c r="B1" t="s">
        <v>194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114</v>
      </c>
    </row>
    <row r="3" spans="1:18" x14ac:dyDescent="0.3">
      <c r="A3">
        <v>2</v>
      </c>
      <c r="B3" t="s">
        <v>115</v>
      </c>
    </row>
    <row r="4" spans="1:18" x14ac:dyDescent="0.3">
      <c r="A4">
        <v>3</v>
      </c>
      <c r="B4" t="s">
        <v>116</v>
      </c>
    </row>
    <row r="5" spans="1:18" x14ac:dyDescent="0.3">
      <c r="A5">
        <v>4</v>
      </c>
      <c r="B5" t="s">
        <v>117</v>
      </c>
    </row>
    <row r="6" spans="1:18" x14ac:dyDescent="0.3">
      <c r="A6">
        <v>5</v>
      </c>
      <c r="B6" t="s">
        <v>118</v>
      </c>
    </row>
    <row r="7" spans="1:18" x14ac:dyDescent="0.3">
      <c r="A7">
        <v>6</v>
      </c>
      <c r="B7" t="s">
        <v>119</v>
      </c>
    </row>
    <row r="8" spans="1:18" x14ac:dyDescent="0.3">
      <c r="A8">
        <v>7</v>
      </c>
      <c r="B8" t="s">
        <v>120</v>
      </c>
    </row>
    <row r="9" spans="1:18" x14ac:dyDescent="0.3">
      <c r="A9">
        <v>8</v>
      </c>
      <c r="B9" t="s">
        <v>166</v>
      </c>
    </row>
    <row r="10" spans="1:18" x14ac:dyDescent="0.3">
      <c r="A10">
        <v>9</v>
      </c>
      <c r="B10" t="s">
        <v>121</v>
      </c>
    </row>
    <row r="11" spans="1:18" x14ac:dyDescent="0.3">
      <c r="A11">
        <v>10</v>
      </c>
      <c r="B11" t="s">
        <v>122</v>
      </c>
    </row>
    <row r="12" spans="1:18" x14ac:dyDescent="0.3">
      <c r="A12">
        <v>11</v>
      </c>
      <c r="B12" t="s">
        <v>167</v>
      </c>
    </row>
    <row r="13" spans="1:18" x14ac:dyDescent="0.3">
      <c r="A13">
        <v>12</v>
      </c>
      <c r="B13" t="s">
        <v>168</v>
      </c>
    </row>
    <row r="14" spans="1:18" x14ac:dyDescent="0.3">
      <c r="A14">
        <v>13</v>
      </c>
      <c r="B14" t="s">
        <v>123</v>
      </c>
    </row>
    <row r="15" spans="1:18" x14ac:dyDescent="0.3">
      <c r="A15">
        <v>14</v>
      </c>
      <c r="B15" t="s">
        <v>169</v>
      </c>
    </row>
    <row r="16" spans="1:18" x14ac:dyDescent="0.3">
      <c r="A16">
        <v>15</v>
      </c>
      <c r="B16" t="s">
        <v>170</v>
      </c>
    </row>
    <row r="17" spans="1:2" x14ac:dyDescent="0.3">
      <c r="A17">
        <v>16</v>
      </c>
      <c r="B17" t="s">
        <v>124</v>
      </c>
    </row>
    <row r="18" spans="1:2" x14ac:dyDescent="0.3">
      <c r="A18">
        <v>17</v>
      </c>
      <c r="B18" t="s">
        <v>125</v>
      </c>
    </row>
    <row r="19" spans="1:2" x14ac:dyDescent="0.3">
      <c r="A19">
        <v>18</v>
      </c>
      <c r="B19" t="s">
        <v>171</v>
      </c>
    </row>
    <row r="20" spans="1:2" x14ac:dyDescent="0.3">
      <c r="A20">
        <v>19</v>
      </c>
      <c r="B20" t="s">
        <v>126</v>
      </c>
    </row>
    <row r="21" spans="1:2" x14ac:dyDescent="0.3">
      <c r="A21">
        <v>20</v>
      </c>
      <c r="B21" t="s">
        <v>127</v>
      </c>
    </row>
    <row r="22" spans="1:2" x14ac:dyDescent="0.3">
      <c r="A22">
        <v>21</v>
      </c>
      <c r="B22" t="s">
        <v>128</v>
      </c>
    </row>
    <row r="23" spans="1:2" x14ac:dyDescent="0.3">
      <c r="A23">
        <v>22</v>
      </c>
      <c r="B23" t="s">
        <v>172</v>
      </c>
    </row>
    <row r="24" spans="1:2" x14ac:dyDescent="0.3">
      <c r="A24">
        <v>23</v>
      </c>
      <c r="B24" t="s">
        <v>129</v>
      </c>
    </row>
    <row r="25" spans="1:2" x14ac:dyDescent="0.3">
      <c r="A25">
        <v>24</v>
      </c>
      <c r="B25" t="s">
        <v>130</v>
      </c>
    </row>
    <row r="26" spans="1:2" x14ac:dyDescent="0.3">
      <c r="A26">
        <v>25</v>
      </c>
      <c r="B26" t="s">
        <v>131</v>
      </c>
    </row>
    <row r="27" spans="1:2" x14ac:dyDescent="0.3">
      <c r="A27">
        <v>26</v>
      </c>
      <c r="B27" t="s">
        <v>132</v>
      </c>
    </row>
    <row r="28" spans="1:2" x14ac:dyDescent="0.3">
      <c r="A28">
        <v>27</v>
      </c>
      <c r="B28" t="s">
        <v>133</v>
      </c>
    </row>
    <row r="29" spans="1:2" x14ac:dyDescent="0.3">
      <c r="A29">
        <v>28</v>
      </c>
      <c r="B29" t="s">
        <v>134</v>
      </c>
    </row>
    <row r="30" spans="1:2" x14ac:dyDescent="0.3">
      <c r="A30">
        <v>29</v>
      </c>
      <c r="B30" t="s">
        <v>135</v>
      </c>
    </row>
    <row r="31" spans="1:2" x14ac:dyDescent="0.3">
      <c r="A31">
        <v>30</v>
      </c>
      <c r="B31" t="s">
        <v>136</v>
      </c>
    </row>
    <row r="32" spans="1:2" x14ac:dyDescent="0.3">
      <c r="A32">
        <v>31</v>
      </c>
      <c r="B32" t="s">
        <v>137</v>
      </c>
    </row>
    <row r="33" spans="1:2" x14ac:dyDescent="0.3">
      <c r="A33">
        <v>32</v>
      </c>
      <c r="B33" t="s">
        <v>138</v>
      </c>
    </row>
    <row r="34" spans="1:2" x14ac:dyDescent="0.3">
      <c r="A34">
        <v>33</v>
      </c>
      <c r="B34" t="s">
        <v>193</v>
      </c>
    </row>
    <row r="35" spans="1:2" x14ac:dyDescent="0.3">
      <c r="A35">
        <v>34</v>
      </c>
      <c r="B35" t="s">
        <v>139</v>
      </c>
    </row>
    <row r="36" spans="1:2" x14ac:dyDescent="0.3">
      <c r="A36">
        <v>35</v>
      </c>
      <c r="B36" t="s">
        <v>140</v>
      </c>
    </row>
    <row r="37" spans="1:2" x14ac:dyDescent="0.3">
      <c r="A37">
        <v>36</v>
      </c>
      <c r="B37" t="s">
        <v>141</v>
      </c>
    </row>
    <row r="38" spans="1:2" x14ac:dyDescent="0.3">
      <c r="A38">
        <v>37</v>
      </c>
      <c r="B38" t="s">
        <v>176</v>
      </c>
    </row>
    <row r="39" spans="1:2" x14ac:dyDescent="0.3">
      <c r="A39">
        <v>38</v>
      </c>
      <c r="B39" t="s">
        <v>173</v>
      </c>
    </row>
    <row r="40" spans="1:2" x14ac:dyDescent="0.3">
      <c r="A40">
        <v>39</v>
      </c>
      <c r="B40" t="s">
        <v>174</v>
      </c>
    </row>
    <row r="41" spans="1:2" x14ac:dyDescent="0.3">
      <c r="A41">
        <v>40</v>
      </c>
      <c r="B41" t="s">
        <v>142</v>
      </c>
    </row>
    <row r="42" spans="1:2" x14ac:dyDescent="0.3">
      <c r="A42">
        <v>41</v>
      </c>
      <c r="B42" t="s">
        <v>178</v>
      </c>
    </row>
    <row r="43" spans="1:2" x14ac:dyDescent="0.3">
      <c r="A43">
        <v>42</v>
      </c>
      <c r="B43" t="s">
        <v>143</v>
      </c>
    </row>
    <row r="44" spans="1:2" x14ac:dyDescent="0.3">
      <c r="A44">
        <v>43</v>
      </c>
      <c r="B44" t="s">
        <v>175</v>
      </c>
    </row>
    <row r="45" spans="1:2" x14ac:dyDescent="0.3">
      <c r="A45">
        <v>44</v>
      </c>
      <c r="B45" t="s">
        <v>177</v>
      </c>
    </row>
    <row r="46" spans="1:2" x14ac:dyDescent="0.3">
      <c r="A46">
        <v>45</v>
      </c>
      <c r="B46" t="s">
        <v>179</v>
      </c>
    </row>
    <row r="47" spans="1:2" x14ac:dyDescent="0.3">
      <c r="A47">
        <v>46</v>
      </c>
      <c r="B47" t="s">
        <v>144</v>
      </c>
    </row>
    <row r="48" spans="1:2" x14ac:dyDescent="0.3">
      <c r="A48">
        <v>47</v>
      </c>
      <c r="B48" t="s">
        <v>180</v>
      </c>
    </row>
    <row r="49" spans="1:2" x14ac:dyDescent="0.3">
      <c r="A49">
        <v>48</v>
      </c>
      <c r="B49" t="s">
        <v>145</v>
      </c>
    </row>
    <row r="50" spans="1:2" x14ac:dyDescent="0.3">
      <c r="A50">
        <v>49</v>
      </c>
      <c r="B50" t="s">
        <v>146</v>
      </c>
    </row>
    <row r="51" spans="1:2" x14ac:dyDescent="0.3">
      <c r="A51">
        <v>50</v>
      </c>
      <c r="B51" t="s">
        <v>147</v>
      </c>
    </row>
    <row r="52" spans="1:2" x14ac:dyDescent="0.3">
      <c r="A52">
        <v>51</v>
      </c>
      <c r="B52" t="s">
        <v>148</v>
      </c>
    </row>
    <row r="53" spans="1:2" x14ac:dyDescent="0.3">
      <c r="A53">
        <v>52</v>
      </c>
      <c r="B53" t="s">
        <v>181</v>
      </c>
    </row>
    <row r="54" spans="1:2" x14ac:dyDescent="0.3">
      <c r="A54">
        <v>53</v>
      </c>
      <c r="B54" t="s">
        <v>149</v>
      </c>
    </row>
    <row r="55" spans="1:2" x14ac:dyDescent="0.3">
      <c r="A55">
        <v>54</v>
      </c>
      <c r="B55" t="s">
        <v>150</v>
      </c>
    </row>
    <row r="56" spans="1:2" x14ac:dyDescent="0.3">
      <c r="A56">
        <v>55</v>
      </c>
      <c r="B56" t="s">
        <v>151</v>
      </c>
    </row>
    <row r="57" spans="1:2" x14ac:dyDescent="0.3">
      <c r="A57">
        <v>56</v>
      </c>
      <c r="B57" t="s">
        <v>182</v>
      </c>
    </row>
    <row r="58" spans="1:2" x14ac:dyDescent="0.3">
      <c r="A58">
        <v>57</v>
      </c>
      <c r="B58" t="s">
        <v>183</v>
      </c>
    </row>
    <row r="59" spans="1:2" x14ac:dyDescent="0.3">
      <c r="A59">
        <v>58</v>
      </c>
      <c r="B59" t="s">
        <v>152</v>
      </c>
    </row>
    <row r="60" spans="1:2" x14ac:dyDescent="0.3">
      <c r="A60">
        <v>59</v>
      </c>
      <c r="B60" t="s">
        <v>153</v>
      </c>
    </row>
    <row r="61" spans="1:2" x14ac:dyDescent="0.3">
      <c r="A61">
        <v>60</v>
      </c>
      <c r="B61" t="s">
        <v>154</v>
      </c>
    </row>
    <row r="62" spans="1:2" x14ac:dyDescent="0.3">
      <c r="A62">
        <v>61</v>
      </c>
      <c r="B62" t="s">
        <v>184</v>
      </c>
    </row>
    <row r="63" spans="1:2" x14ac:dyDescent="0.3">
      <c r="A63">
        <v>62</v>
      </c>
      <c r="B63" t="s">
        <v>155</v>
      </c>
    </row>
    <row r="64" spans="1:2" x14ac:dyDescent="0.3">
      <c r="A64">
        <v>63</v>
      </c>
      <c r="B64" t="s">
        <v>185</v>
      </c>
    </row>
    <row r="65" spans="1:2" x14ac:dyDescent="0.3">
      <c r="A65">
        <v>64</v>
      </c>
      <c r="B65" t="s">
        <v>156</v>
      </c>
    </row>
    <row r="66" spans="1:2" x14ac:dyDescent="0.3">
      <c r="A66">
        <v>65</v>
      </c>
      <c r="B66" t="s">
        <v>186</v>
      </c>
    </row>
    <row r="67" spans="1:2" x14ac:dyDescent="0.3">
      <c r="A67">
        <v>66</v>
      </c>
      <c r="B67" t="s">
        <v>187</v>
      </c>
    </row>
    <row r="68" spans="1:2" x14ac:dyDescent="0.3">
      <c r="A68">
        <v>67</v>
      </c>
      <c r="B68" t="s">
        <v>157</v>
      </c>
    </row>
    <row r="69" spans="1:2" x14ac:dyDescent="0.3">
      <c r="A69">
        <v>68</v>
      </c>
      <c r="B69" t="s">
        <v>188</v>
      </c>
    </row>
    <row r="70" spans="1:2" x14ac:dyDescent="0.3">
      <c r="A70">
        <v>69</v>
      </c>
      <c r="B70" t="s">
        <v>158</v>
      </c>
    </row>
    <row r="71" spans="1:2" x14ac:dyDescent="0.3">
      <c r="A71">
        <v>70</v>
      </c>
      <c r="B71" t="s">
        <v>159</v>
      </c>
    </row>
    <row r="72" spans="1:2" x14ac:dyDescent="0.3">
      <c r="A72">
        <v>71</v>
      </c>
      <c r="B72" t="s">
        <v>160</v>
      </c>
    </row>
    <row r="73" spans="1:2" x14ac:dyDescent="0.3">
      <c r="A73">
        <v>72</v>
      </c>
      <c r="B73" t="s">
        <v>161</v>
      </c>
    </row>
    <row r="74" spans="1:2" x14ac:dyDescent="0.3">
      <c r="A74">
        <v>73</v>
      </c>
      <c r="B74" t="s">
        <v>162</v>
      </c>
    </row>
    <row r="75" spans="1:2" x14ac:dyDescent="0.3">
      <c r="A75">
        <v>74</v>
      </c>
      <c r="B75" t="s">
        <v>163</v>
      </c>
    </row>
    <row r="76" spans="1:2" x14ac:dyDescent="0.3">
      <c r="A76">
        <v>75</v>
      </c>
      <c r="B76" t="s">
        <v>164</v>
      </c>
    </row>
    <row r="77" spans="1:2" x14ac:dyDescent="0.3">
      <c r="A77">
        <v>76</v>
      </c>
      <c r="B77" t="s">
        <v>165</v>
      </c>
    </row>
    <row r="78" spans="1:2" x14ac:dyDescent="0.3">
      <c r="A78">
        <v>77</v>
      </c>
      <c r="B78" t="s">
        <v>192</v>
      </c>
    </row>
    <row r="79" spans="1:2" x14ac:dyDescent="0.3">
      <c r="A79">
        <v>78</v>
      </c>
      <c r="B79" t="s">
        <v>190</v>
      </c>
    </row>
    <row r="80" spans="1:2" x14ac:dyDescent="0.3">
      <c r="A80">
        <v>79</v>
      </c>
      <c r="B80" t="s">
        <v>189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selection activeCell="A3" sqref="A3"/>
    </sheetView>
  </sheetViews>
  <sheetFormatPr defaultRowHeight="14.4" x14ac:dyDescent="0.3"/>
  <cols>
    <col min="1" max="1" width="38.77734375" customWidth="1"/>
    <col min="2" max="9" width="10.109375" customWidth="1"/>
    <col min="10" max="23" width="11.109375" customWidth="1"/>
  </cols>
  <sheetData>
    <row r="1" spans="1:23" ht="25.8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25.8" x14ac:dyDescent="0.5">
      <c r="A2" s="3">
        <v>46005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3" ht="25.8" x14ac:dyDescent="0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3" ht="25.8" x14ac:dyDescent="0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23" ht="25.8" x14ac:dyDescent="0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23" ht="25.8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23" ht="25.8" x14ac:dyDescent="0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23" ht="25.8" x14ac:dyDescent="0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23" ht="25.8" x14ac:dyDescent="0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23" ht="25.8" x14ac:dyDescent="0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23" ht="25.8" x14ac:dyDescent="0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3" ht="25.8" x14ac:dyDescent="0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23" ht="25.8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23" ht="25.8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23" ht="25.8" x14ac:dyDescent="0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23" ht="25.8" x14ac:dyDescent="0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5.8" x14ac:dyDescent="0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5.8" x14ac:dyDescent="0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5.8" x14ac:dyDescent="0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5.8" x14ac:dyDescent="0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5.8" x14ac:dyDescent="0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5.8" x14ac:dyDescent="0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5.8" x14ac:dyDescent="0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</vt:lpstr>
      <vt:lpstr>PLAYERS</vt:lpstr>
      <vt:lpstr>CHARACTERS</vt:lpstr>
      <vt:lpstr>metadata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2025-12-15T02:58:52Z</dcterms:modified>
</cp:coreProperties>
</file>