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NALISIS" sheetId="4" r:id="rId1"/>
    <sheet name="PLAYERS" sheetId="1" r:id="rId2"/>
    <sheet name="INVASORS-PLAYERS" sheetId="5" r:id="rId3"/>
    <sheet name="CHARACTERS" sheetId="2" r:id="rId4"/>
    <sheet name="metadata" sheetId="3" r:id="rId5"/>
  </sheets>
  <calcPr calcId="152511"/>
</workbook>
</file>

<file path=xl/calcChain.xml><?xml version="1.0" encoding="utf-8"?>
<calcChain xmlns="http://schemas.openxmlformats.org/spreadsheetml/2006/main">
  <c r="D24" i="4" l="1"/>
  <c r="D21" i="4"/>
  <c r="D25" i="4"/>
  <c r="D26" i="4"/>
  <c r="D27" i="4"/>
  <c r="D28" i="4"/>
  <c r="D20" i="4"/>
  <c r="D29" i="4"/>
  <c r="D30" i="4"/>
  <c r="D31" i="4"/>
  <c r="D32" i="4"/>
  <c r="D33" i="4"/>
  <c r="D34" i="4"/>
  <c r="D35" i="4"/>
  <c r="D36" i="4"/>
  <c r="D9" i="4"/>
  <c r="D37" i="4"/>
  <c r="D38" i="4"/>
  <c r="D39" i="4"/>
  <c r="D40" i="4"/>
  <c r="D41" i="4"/>
  <c r="D42" i="4"/>
  <c r="D43" i="4"/>
  <c r="D22" i="4"/>
  <c r="D44" i="4"/>
  <c r="D18" i="4"/>
  <c r="D45" i="4"/>
  <c r="D46" i="4"/>
  <c r="D47" i="4"/>
  <c r="D8" i="4"/>
  <c r="D7" i="4"/>
  <c r="D48" i="4"/>
  <c r="D6" i="4"/>
  <c r="D49" i="4"/>
  <c r="D23" i="4"/>
  <c r="D50" i="4"/>
  <c r="D51" i="4"/>
  <c r="D14" i="4"/>
  <c r="D2" i="4"/>
  <c r="D52" i="4"/>
  <c r="D5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4" i="4"/>
  <c r="D69" i="4"/>
  <c r="D13" i="4"/>
  <c r="D70" i="4"/>
  <c r="D71" i="4"/>
  <c r="D16" i="4"/>
  <c r="D17" i="4"/>
  <c r="D72" i="4"/>
  <c r="D12" i="4"/>
  <c r="D73" i="4"/>
  <c r="D74" i="4"/>
  <c r="D75" i="4"/>
  <c r="D11" i="4"/>
  <c r="D10" i="4"/>
  <c r="D76" i="4"/>
  <c r="D77" i="4"/>
  <c r="D15" i="4"/>
  <c r="D78" i="4"/>
  <c r="D3" i="4"/>
  <c r="D79" i="4"/>
  <c r="D80" i="4"/>
  <c r="D19" i="4"/>
  <c r="C80" i="4"/>
  <c r="C41" i="4"/>
  <c r="C42" i="4"/>
  <c r="C43" i="4"/>
  <c r="C22" i="4"/>
  <c r="C44" i="4"/>
  <c r="C18" i="4"/>
  <c r="C45" i="4"/>
  <c r="C46" i="4"/>
  <c r="C47" i="4"/>
  <c r="C8" i="4"/>
  <c r="C7" i="4"/>
  <c r="C48" i="4"/>
  <c r="C6" i="4"/>
  <c r="C49" i="4"/>
  <c r="C23" i="4"/>
  <c r="C50" i="4"/>
  <c r="C51" i="4"/>
  <c r="C14" i="4"/>
  <c r="C2" i="4"/>
  <c r="C52" i="4"/>
  <c r="C5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4" i="4"/>
  <c r="C69" i="4"/>
  <c r="C13" i="4"/>
  <c r="C70" i="4"/>
  <c r="C71" i="4"/>
  <c r="C16" i="4"/>
  <c r="C17" i="4"/>
  <c r="C72" i="4"/>
  <c r="C12" i="4"/>
  <c r="C73" i="4"/>
  <c r="C74" i="4"/>
  <c r="C75" i="4"/>
  <c r="C11" i="4"/>
  <c r="C10" i="4"/>
  <c r="C76" i="4"/>
  <c r="C77" i="4"/>
  <c r="C15" i="4"/>
  <c r="C78" i="4"/>
  <c r="C3" i="4"/>
  <c r="C79" i="4"/>
  <c r="C24" i="4"/>
  <c r="C21" i="4"/>
  <c r="C25" i="4"/>
  <c r="C26" i="4"/>
  <c r="C27" i="4"/>
  <c r="C28" i="4"/>
  <c r="C20" i="4"/>
  <c r="C29" i="4"/>
  <c r="C30" i="4"/>
  <c r="C31" i="4"/>
  <c r="C32" i="4"/>
  <c r="C33" i="4"/>
  <c r="C34" i="4"/>
  <c r="C35" i="4"/>
  <c r="C36" i="4"/>
  <c r="C9" i="4"/>
  <c r="C37" i="4"/>
  <c r="C38" i="4"/>
  <c r="C39" i="4"/>
  <c r="C40" i="4"/>
  <c r="C19" i="4"/>
</calcChain>
</file>

<file path=xl/sharedStrings.xml><?xml version="1.0" encoding="utf-8"?>
<sst xmlns="http://schemas.openxmlformats.org/spreadsheetml/2006/main" count="436" uniqueCount="237">
  <si>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</si>
  <si>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</si>
  <si>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</si>
  <si>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</si>
  <si>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</si>
  <si>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</si>
  <si>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</si>
  <si>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</si>
  <si>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</si>
  <si>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</si>
  <si>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</si>
  <si>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</si>
  <si>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</si>
  <si>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</si>
  <si>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</si>
  <si>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</si>
  <si>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</si>
  <si>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</si>
  <si>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</si>
  <si>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</si>
  <si>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</si>
  <si>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</si>
  <si>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</si>
  <si>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Rank</t>
  </si>
  <si>
    <t>Player</t>
  </si>
  <si>
    <t>OW / PHX | Peppa</t>
  </si>
  <si>
    <t>Castle</t>
  </si>
  <si>
    <t>TEW | iBet</t>
  </si>
  <si>
    <t>TEW | LÃ¶rd</t>
  </si>
  <si>
    <t>Slade</t>
  </si>
  <si>
    <t>TEW | LinkEa</t>
  </si>
  <si>
    <t>Diptox</t>
  </si>
  <si>
    <t>PHX | Huanito</t>
  </si>
  <si>
    <t>PHX | Zoul</t>
  </si>
  <si>
    <t>SyC | LeSoS</t>
  </si>
  <si>
    <t>TEW | Piporex</t>
  </si>
  <si>
    <t>PHX | Wakanda</t>
  </si>
  <si>
    <t>TEW | C8</t>
  </si>
  <si>
    <t>SS</t>
  </si>
  <si>
    <t>TEW | Panda</t>
  </si>
  <si>
    <t>PHX | Hikarii</t>
  </si>
  <si>
    <t>Jubaea</t>
  </si>
  <si>
    <t>PHX | Kero~</t>
  </si>
  <si>
    <t>PHX | Eliecer</t>
  </si>
  <si>
    <t>Tew | Necrossb</t>
  </si>
  <si>
    <t>TEW | Loba</t>
  </si>
  <si>
    <t>SurgicalZ</t>
  </si>
  <si>
    <t>Valenz</t>
  </si>
  <si>
    <t>MNK | Porroyo</t>
  </si>
  <si>
    <t>DaeWaton</t>
  </si>
  <si>
    <t>TEW | CR1</t>
  </si>
  <si>
    <t>PHX | Zorkats</t>
  </si>
  <si>
    <t>TEW | Little N</t>
  </si>
  <si>
    <t>PHX | nicoFlein</t>
  </si>
  <si>
    <t>WLB | SaiKora</t>
  </si>
  <si>
    <t>CQC | Cookie</t>
  </si>
  <si>
    <t>TEW | Mae</t>
  </si>
  <si>
    <t>PHX | Ertiop</t>
  </si>
  <si>
    <t>fco92DS</t>
  </si>
  <si>
    <t>FSM | sk8!</t>
  </si>
  <si>
    <t>SK | Al.chemyst</t>
  </si>
  <si>
    <t>Coslento</t>
  </si>
  <si>
    <t>Drim</t>
  </si>
  <si>
    <t>Sebaibox</t>
  </si>
  <si>
    <t>Hammer</t>
  </si>
  <si>
    <t>DSL | Incoknito</t>
  </si>
  <si>
    <t>ãƒ†ãƒ«</t>
  </si>
  <si>
    <t>cloudyntt</t>
  </si>
  <si>
    <t>Hakos</t>
  </si>
  <si>
    <t>Medisend</t>
  </si>
  <si>
    <t>Dubent</t>
  </si>
  <si>
    <t>UV | Yamato</t>
  </si>
  <si>
    <t>DLX | Rayas</t>
  </si>
  <si>
    <t>Claulink</t>
  </si>
  <si>
    <t>FSM | Xcrist0717</t>
  </si>
  <si>
    <t>Jhamest</t>
  </si>
  <si>
    <t>Mac</t>
  </si>
  <si>
    <t>Zenko</t>
  </si>
  <si>
    <t>linkero</t>
  </si>
  <si>
    <t>TouyaCosp</t>
  </si>
  <si>
    <t>Zen</t>
  </si>
  <si>
    <t>tobirope</t>
  </si>
  <si>
    <t>The panther</t>
  </si>
  <si>
    <t>enzol</t>
  </si>
  <si>
    <t>Tomalope15</t>
  </si>
  <si>
    <t>CM | Dax</t>
  </si>
  <si>
    <t>Aamatt</t>
  </si>
  <si>
    <t>FSM | esnupi</t>
  </si>
  <si>
    <t>Leni</t>
  </si>
  <si>
    <t>Spekkio</t>
  </si>
  <si>
    <t>RaduxSepul</t>
  </si>
  <si>
    <t>Yochiguesa</t>
  </si>
  <si>
    <t>Me. P | pinguigamer</t>
  </si>
  <si>
    <t>ShirakoGX</t>
  </si>
  <si>
    <t>Masato</t>
  </si>
  <si>
    <t>guatonpant</t>
  </si>
  <si>
    <t>Shroomite</t>
  </si>
  <si>
    <t>SpryZeed</t>
  </si>
  <si>
    <t>Chichex</t>
  </si>
  <si>
    <t>WLB | CRONS^2</t>
  </si>
  <si>
    <t>StoneStorm</t>
  </si>
  <si>
    <t>kayronmon</t>
  </si>
  <si>
    <t>Ruki Zero</t>
  </si>
  <si>
    <t>01 | kyuu</t>
  </si>
  <si>
    <t>Foward-air</t>
  </si>
  <si>
    <t>GG | Big smoke</t>
  </si>
  <si>
    <t>mostaza</t>
  </si>
  <si>
    <t>Supersallan34</t>
  </si>
  <si>
    <t>Sebah</t>
  </si>
  <si>
    <t>Nacho</t>
  </si>
  <si>
    <t>Dack</t>
  </si>
  <si>
    <t>Vee</t>
  </si>
  <si>
    <t xml:space="preserve">Character 1 </t>
  </si>
  <si>
    <t>Character 2</t>
  </si>
  <si>
    <t>Mario</t>
  </si>
  <si>
    <t>Donkey Kong</t>
  </si>
  <si>
    <t>Link</t>
  </si>
  <si>
    <t>Samus</t>
  </si>
  <si>
    <t>Yoshi</t>
  </si>
  <si>
    <t>Kirby</t>
  </si>
  <si>
    <t>Fox</t>
  </si>
  <si>
    <t>Luigi</t>
  </si>
  <si>
    <t>Ness</t>
  </si>
  <si>
    <t>Peach</t>
  </si>
  <si>
    <t>Sheik</t>
  </si>
  <si>
    <t>Zelda</t>
  </si>
  <si>
    <t>Pichu</t>
  </si>
  <si>
    <t>Falco</t>
  </si>
  <si>
    <t>Marth</t>
  </si>
  <si>
    <t>Ganondorf</t>
  </si>
  <si>
    <t>Mewtwo</t>
  </si>
  <si>
    <t>Roy</t>
  </si>
  <si>
    <t>Mr. Game &amp; Watch</t>
  </si>
  <si>
    <t>Meta Knight</t>
  </si>
  <si>
    <t>Pit</t>
  </si>
  <si>
    <t>Zero Suit Samus</t>
  </si>
  <si>
    <t>Wario</t>
  </si>
  <si>
    <t>Snake</t>
  </si>
  <si>
    <t>Ike</t>
  </si>
  <si>
    <t>Diddy Kong</t>
  </si>
  <si>
    <t>Lucas</t>
  </si>
  <si>
    <t>Sonic</t>
  </si>
  <si>
    <t>R.O.B.</t>
  </si>
  <si>
    <t>Wolf</t>
  </si>
  <si>
    <t>Rosalina &amp; Luma</t>
  </si>
  <si>
    <t>Greninja</t>
  </si>
  <si>
    <t>Mii Brawler</t>
  </si>
  <si>
    <t>Mii Swordfighter</t>
  </si>
  <si>
    <t>Mii Gunner</t>
  </si>
  <si>
    <t>Pac-Man</t>
  </si>
  <si>
    <t>Robin</t>
  </si>
  <si>
    <t>Shulk</t>
  </si>
  <si>
    <t>Ryu</t>
  </si>
  <si>
    <t>Cloud</t>
  </si>
  <si>
    <t>Corrin</t>
  </si>
  <si>
    <t>Inkling</t>
  </si>
  <si>
    <t>Simon</t>
  </si>
  <si>
    <t>Incineroar</t>
  </si>
  <si>
    <t>Joker</t>
  </si>
  <si>
    <t>Hero</t>
  </si>
  <si>
    <t>Banjo &amp; Kazooie</t>
  </si>
  <si>
    <t>Terry</t>
  </si>
  <si>
    <t>Byleth</t>
  </si>
  <si>
    <t>Min Min</t>
  </si>
  <si>
    <t>Steve/Alex</t>
  </si>
  <si>
    <t>Sephiroth</t>
  </si>
  <si>
    <t>Pikachu</t>
  </si>
  <si>
    <t>Captain Falcon</t>
  </si>
  <si>
    <t>Jigglypuff</t>
  </si>
  <si>
    <t>Bowser</t>
  </si>
  <si>
    <t>Ice Climbers</t>
  </si>
  <si>
    <t>Dr. Mario</t>
  </si>
  <si>
    <t>Young Link</t>
  </si>
  <si>
    <t>Olimar</t>
  </si>
  <si>
    <t>Lucario</t>
  </si>
  <si>
    <t>Villager</t>
  </si>
  <si>
    <t>King Dedede</t>
  </si>
  <si>
    <t>Mega Man</t>
  </si>
  <si>
    <t>Toon Link</t>
  </si>
  <si>
    <t>Wii Fit Trainer</t>
  </si>
  <si>
    <t>Little Mac</t>
  </si>
  <si>
    <t>Palutena</t>
  </si>
  <si>
    <t>Bowser Jr.</t>
  </si>
  <si>
    <t>Dunk Hunt</t>
  </si>
  <si>
    <t>Bayonetta</t>
  </si>
  <si>
    <t>Ridley</t>
  </si>
  <si>
    <t>King K. Rool</t>
  </si>
  <si>
    <t>Isabelle</t>
  </si>
  <si>
    <t>Piranha Plant</t>
  </si>
  <si>
    <t>Sora</t>
  </si>
  <si>
    <t>Kazuya</t>
  </si>
  <si>
    <t>id</t>
  </si>
  <si>
    <t>AEGIS</t>
  </si>
  <si>
    <t>PKMN TRAINER</t>
  </si>
  <si>
    <t>PERSONAJE</t>
  </si>
  <si>
    <t>ASISTENCIA JUGADOR</t>
  </si>
  <si>
    <t>GANABLE?</t>
  </si>
  <si>
    <t>°</t>
  </si>
  <si>
    <t>NO</t>
  </si>
  <si>
    <t>SI</t>
  </si>
  <si>
    <t>NO SE</t>
  </si>
  <si>
    <t>NOTA:</t>
  </si>
  <si>
    <t>SOLO ASISTE A PARADOX SERIES</t>
  </si>
  <si>
    <t>prioridad</t>
  </si>
  <si>
    <t>base</t>
  </si>
  <si>
    <t>CREATED</t>
  </si>
  <si>
    <t>UPDATED 1</t>
  </si>
  <si>
    <t>?</t>
  </si>
  <si>
    <t>SECOND-DIPTOX</t>
  </si>
  <si>
    <t>S1</t>
  </si>
  <si>
    <t>S2</t>
  </si>
  <si>
    <t>SECOND-WAKANDA</t>
  </si>
  <si>
    <t>POCKET-WAKANDA</t>
  </si>
  <si>
    <t>P1</t>
  </si>
  <si>
    <t>x27</t>
  </si>
  <si>
    <t>x13</t>
  </si>
  <si>
    <t>x12</t>
  </si>
  <si>
    <t>%Aparicion</t>
  </si>
  <si>
    <t>pos</t>
  </si>
  <si>
    <t>XP1</t>
  </si>
  <si>
    <t>XTRA-POINTS-HIKARII</t>
  </si>
  <si>
    <t>INFO</t>
  </si>
  <si>
    <t>% APARICION=&gt;</t>
  </si>
  <si>
    <t>INVENTAMOS 30 TORNEOS USADOS PARA EL %</t>
  </si>
  <si>
    <t>DifficultyFindPractice</t>
  </si>
  <si>
    <t>NORMAL</t>
  </si>
  <si>
    <t>EASY</t>
  </si>
  <si>
    <t>IMPOSSIBLE</t>
  </si>
  <si>
    <t>HARD</t>
  </si>
  <si>
    <t xml:space="preserve">nota: los "impossible" buscar partidas en smash chile y focus </t>
  </si>
  <si>
    <t>NOTA</t>
  </si>
  <si>
    <t>LVL MAX USUARIO</t>
  </si>
  <si>
    <t>A</t>
  </si>
  <si>
    <t xml:space="preserve">impossible o "hard" de encontrar partida  </t>
  </si>
  <si>
    <t>Si es</t>
  </si>
  <si>
    <t xml:space="preserve"> o usuario es level  "nivel S or S+"</t>
  </si>
  <si>
    <t>entonces: ,vale la pena estudiar y jugarle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</si>
</sst>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3" fillId="5" borderId="0" xfId="0" applyFont="1" applyFill="1"/>
    <xf numFmtId="0" fontId="3" fillId="2" borderId="0" xfId="0" applyFont="1" applyFill="1"/>
    <xf numFmtId="0" fontId="0" fillId="2" borderId="0" xfId="0" applyFill="1"/>
    <xf numFmtId="0" fontId="0" fillId="5" borderId="0" xfId="0" applyFill="1"/>
    <xf numFmtId="0" fontId="3" fillId="7" borderId="0" xfId="0" applyFont="1" applyFill="1"/>
    <xf numFmtId="0" fontId="0" fillId="7" borderId="0" xfId="0" applyFill="1"/>
    <xf numFmtId="0" fontId="7" fillId="8" borderId="0" xfId="0" applyFont="1" applyFill="1"/>
    <xf numFmtId="0" fontId="5" fillId="6" borderId="0" xfId="0" applyFont="1" applyFill="1"/>
    <xf numFmtId="0" fontId="6" fillId="6" borderId="0" xfId="0" applyFont="1" applyFill="1"/>
    <xf numFmtId="0" fontId="3" fillId="4" borderId="0" xfId="0" applyFont="1" applyFill="1"/>
    <xf numFmtId="0" fontId="3" fillId="9" borderId="0" xfId="0" applyFont="1" applyFill="1"/>
    <xf numFmtId="0" fontId="3" fillId="10" borderId="0" xfId="0" applyFont="1" applyFill="1"/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3" name="Table3" displayName="Table3" ref="A1:T241" totalsRowShown="0">
  <autoFilter ref="A1:T241"/>
  <sortState ref="A2:T165">
    <sortCondition descending="1" ref="D1:D241"/>
  </sortState>
  <tableColumns count="20">
    <tableColumn id="1" name="°"/>
    <tableColumn id="2" name="PERSONAJE"/>
    <tableColumn id="3" name="base" dataDxfId="24">
      <calculatedColumnFormula>SUMAR.SI(PLAYERS!C:C, TEXTO.DESPUES(ANALISIS!B2," "), PLAYERS!E:E)</calculatedColumnFormula>
    </tableColumn>
    <tableColumn id="4" name="prioridad"/>
    <tableColumn id="5" name="%Aparicion"/>
    <tableColumn id="6" name="pos"/>
    <tableColumn id="7" name="DifficultyFindPractice"/>
    <tableColumn id="8" name="LVL MAX USUARIO"/>
    <tableColumn id="9" name="NOTA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</tableColumns>
  <tableStyleInfo name="TableStyleDark5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V150" totalsRowShown="0" headerRowDxfId="23" dataDxfId="22">
  <autoFilter ref="A1:V150"/>
  <tableColumns count="22">
    <tableColumn id="1" name="Rank" dataDxfId="21"/>
    <tableColumn id="2" name="Player" dataDxfId="20"/>
    <tableColumn id="3" name="Character 1 " dataDxfId="19"/>
    <tableColumn id="4" name="Character 2" dataDxfId="18"/>
    <tableColumn id="5" name="ASISTENCIA JUGADOR" dataDxfId="17"/>
    <tableColumn id="6" name="GANABLE?" dataDxfId="16"/>
    <tableColumn id="7" name="NOTA:" dataDxfId="15"/>
    <tableColumn id="8" name="Column8" dataDxfId="14"/>
    <tableColumn id="9" name="Column9" dataDxfId="13"/>
    <tableColumn id="10" name="Column10" dataDxfId="12"/>
    <tableColumn id="11" name="Column11" dataDxfId="11"/>
    <tableColumn id="12" name="Column12" dataDxfId="10"/>
    <tableColumn id="13" name="Column13" dataDxfId="9"/>
    <tableColumn id="14" name="Column14" dataDxfId="8"/>
    <tableColumn id="15" name="Column15" dataDxfId="7"/>
    <tableColumn id="16" name="Column16" dataDxfId="6"/>
    <tableColumn id="17" name="Column17" dataDxfId="5"/>
    <tableColumn id="18" name="Column18" dataDxfId="4"/>
    <tableColumn id="19" name="Column19" dataDxfId="3"/>
    <tableColumn id="20" name="Column20" dataDxfId="2"/>
    <tableColumn id="21" name="Column21" dataDxfId="1"/>
    <tableColumn id="22" name="Column22" dataDxfId="0"/>
  </tableColumns>
  <tableStyleInfo name="TableStyleDark1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1:R361" totalsRowShown="0">
  <autoFilter ref="A1:R361"/>
  <tableColumns count="18">
    <tableColumn id="1" name="id"/>
    <tableColumn id="2" name="PERSONAJE"/>
    <tableColumn id="3" name="Column1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TableStyleDark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W211" totalsRowShown="0">
  <autoFilter ref="A1:W211"/>
  <tableColumns count="23">
    <tableColumn id="1" name="Column1"/>
    <tableColumn id="2" name="Column2"/>
    <tableColumn id="3" name="Column3"/>
    <tableColumn id="4" name="INFO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</tableColumns>
  <tableStyleInfo name="TableStyleDark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5"/>
  <sheetViews>
    <sheetView tabSelected="1" workbookViewId="0">
      <selection activeCell="I3" sqref="I3"/>
    </sheetView>
  </sheetViews>
  <sheetFormatPr defaultRowHeight="14.4" x14ac:dyDescent="0.3"/>
  <cols>
    <col min="1" max="1" width="10.109375" customWidth="1"/>
    <col min="2" max="2" width="18.21875" customWidth="1"/>
    <col min="3" max="3" width="23.6640625" customWidth="1"/>
    <col min="4" max="4" width="27.6640625" customWidth="1"/>
    <col min="5" max="5" width="13.6640625" customWidth="1"/>
    <col min="6" max="6" width="10.109375" customWidth="1"/>
    <col min="7" max="7" width="30.6640625" customWidth="1"/>
    <col min="8" max="8" width="22.109375" customWidth="1"/>
    <col min="9" max="9" width="10.109375" customWidth="1"/>
    <col min="10" max="20" width="11.109375" customWidth="1"/>
  </cols>
  <sheetData>
    <row r="1" spans="1:20" x14ac:dyDescent="0.3">
      <c r="A1" t="s">
        <v>197</v>
      </c>
      <c r="B1" t="s">
        <v>194</v>
      </c>
      <c r="C1" t="s">
        <v>204</v>
      </c>
      <c r="D1" t="s">
        <v>203</v>
      </c>
      <c r="E1" t="s">
        <v>217</v>
      </c>
      <c r="F1" t="s">
        <v>218</v>
      </c>
      <c r="G1" t="s">
        <v>224</v>
      </c>
      <c r="H1" t="s">
        <v>231</v>
      </c>
      <c r="I1" t="s">
        <v>230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5.6" x14ac:dyDescent="0.3">
      <c r="A2" s="10">
        <v>40</v>
      </c>
      <c r="B2" s="12" t="s">
        <v>142</v>
      </c>
      <c r="C2" s="12">
        <f>VLOOKUP(B2, PLAYERS!C:E, 3, FALSE)</f>
        <v>3</v>
      </c>
      <c r="D2" s="12">
        <f>SUMIF(PLAYERS!C:C, B2, PLAYERS!E:E)</f>
        <v>40</v>
      </c>
      <c r="E2" s="15"/>
      <c r="F2" s="18">
        <v>1</v>
      </c>
      <c r="G2" s="10" t="s">
        <v>207</v>
      </c>
      <c r="H2" t="s">
        <v>232</v>
      </c>
      <c r="I2" t="s">
        <v>234</v>
      </c>
    </row>
    <row r="3" spans="1:20" ht="15.6" x14ac:dyDescent="0.3">
      <c r="A3" s="10">
        <v>77</v>
      </c>
      <c r="B3" s="12" t="s">
        <v>192</v>
      </c>
      <c r="C3" s="12">
        <f>VLOOKUP(B3, PLAYERS!C:E, 3, FALSE)</f>
        <v>10</v>
      </c>
      <c r="D3" s="12">
        <f>SUMIF(PLAYERS!C:C, B3, PLAYERS!E:E)</f>
        <v>28</v>
      </c>
      <c r="E3" s="15"/>
      <c r="F3" s="18">
        <v>2</v>
      </c>
      <c r="G3" s="21" t="s">
        <v>226</v>
      </c>
      <c r="I3" t="s">
        <v>233</v>
      </c>
    </row>
    <row r="4" spans="1:20" ht="15.6" x14ac:dyDescent="0.3">
      <c r="A4" s="10">
        <v>59</v>
      </c>
      <c r="B4" s="12" t="s">
        <v>153</v>
      </c>
      <c r="C4" s="12">
        <f>VLOOKUP(B4, PLAYERS!C:E, 3, FALSE)</f>
        <v>25</v>
      </c>
      <c r="D4" s="12">
        <f>SUMIF(PLAYERS!C:C, B4, PLAYERS!E:E)</f>
        <v>25</v>
      </c>
      <c r="E4" s="15"/>
      <c r="F4" s="18">
        <v>3</v>
      </c>
      <c r="G4" s="21" t="s">
        <v>226</v>
      </c>
      <c r="I4" t="s">
        <v>235</v>
      </c>
    </row>
    <row r="5" spans="1:20" ht="15.6" x14ac:dyDescent="0.3">
      <c r="A5" s="10">
        <v>42</v>
      </c>
      <c r="B5" s="12" t="s">
        <v>143</v>
      </c>
      <c r="C5" s="12">
        <f>VLOOKUP(B5, PLAYERS!C:E, 3, FALSE)</f>
        <v>24</v>
      </c>
      <c r="D5" s="12">
        <f>SUMIF(PLAYERS!C:C, B5, PLAYERS!E:E)</f>
        <v>24</v>
      </c>
      <c r="E5" s="15"/>
      <c r="F5" s="18">
        <v>4</v>
      </c>
      <c r="G5" s="13" t="s">
        <v>228</v>
      </c>
      <c r="I5" t="s">
        <v>236</v>
      </c>
    </row>
    <row r="6" spans="1:20" ht="15.6" x14ac:dyDescent="0.3">
      <c r="A6" s="10">
        <v>34</v>
      </c>
      <c r="B6" s="12" t="s">
        <v>139</v>
      </c>
      <c r="C6" s="12">
        <f>VLOOKUP(B6, PLAYERS!C:E, 3, FALSE)</f>
        <v>21</v>
      </c>
      <c r="D6" s="12">
        <f>SUMIF(PLAYERS!C:C, B6, PLAYERS!E:E)</f>
        <v>21</v>
      </c>
      <c r="E6" s="15"/>
      <c r="F6" s="18">
        <v>5</v>
      </c>
      <c r="G6" s="22" t="s">
        <v>227</v>
      </c>
    </row>
    <row r="7" spans="1:20" ht="15.6" x14ac:dyDescent="0.3">
      <c r="A7" s="10">
        <v>32</v>
      </c>
      <c r="B7" s="12" t="s">
        <v>138</v>
      </c>
      <c r="C7" s="12">
        <f>VLOOKUP(B7, PLAYERS!C:E, 3, FALSE)</f>
        <v>20</v>
      </c>
      <c r="D7" s="12">
        <f>SUMIF(PLAYERS!C:C, B7, PLAYERS!E:E)</f>
        <v>20</v>
      </c>
      <c r="E7" s="15"/>
      <c r="F7" s="18">
        <v>6</v>
      </c>
      <c r="G7" s="10" t="s">
        <v>207</v>
      </c>
    </row>
    <row r="8" spans="1:20" ht="15.6" x14ac:dyDescent="0.3">
      <c r="A8" s="10">
        <v>31</v>
      </c>
      <c r="B8" s="12" t="s">
        <v>137</v>
      </c>
      <c r="C8" s="12">
        <f>VLOOKUP(B8, PLAYERS!C:E, 3, FALSE)</f>
        <v>20</v>
      </c>
      <c r="D8" s="12">
        <f>SUMIF(PLAYERS!C:C, B8, PLAYERS!E:E)</f>
        <v>20</v>
      </c>
      <c r="E8" s="15"/>
      <c r="F8" s="18">
        <v>7</v>
      </c>
      <c r="G8" s="10" t="s">
        <v>207</v>
      </c>
    </row>
    <row r="9" spans="1:20" ht="15.6" x14ac:dyDescent="0.3">
      <c r="A9" s="10">
        <v>17</v>
      </c>
      <c r="B9" s="12" t="s">
        <v>125</v>
      </c>
      <c r="C9" s="12">
        <f>VLOOKUP(B9, PLAYERS!C:E, 3, FALSE)</f>
        <v>18</v>
      </c>
      <c r="D9" s="12">
        <f>SUMIF(PLAYERS!C:C, B9, PLAYERS!E:E)</f>
        <v>18</v>
      </c>
      <c r="E9" s="15"/>
      <c r="F9" s="18">
        <v>8</v>
      </c>
      <c r="G9" s="10" t="s">
        <v>207</v>
      </c>
    </row>
    <row r="10" spans="1:20" ht="15.6" x14ac:dyDescent="0.3">
      <c r="A10" s="10">
        <v>72</v>
      </c>
      <c r="B10" s="12" t="s">
        <v>161</v>
      </c>
      <c r="C10" s="12">
        <f>VLOOKUP(B10, PLAYERS!C:E, 3, FALSE)</f>
        <v>7</v>
      </c>
      <c r="D10" s="12">
        <f>SUMIF(PLAYERS!C:C, B10, PLAYERS!E:E)</f>
        <v>17</v>
      </c>
      <c r="E10" s="15"/>
      <c r="F10" s="18">
        <v>9</v>
      </c>
      <c r="G10" s="10" t="s">
        <v>207</v>
      </c>
    </row>
    <row r="11" spans="1:20" ht="15.6" x14ac:dyDescent="0.3">
      <c r="A11" s="10">
        <v>71</v>
      </c>
      <c r="B11" s="13" t="s">
        <v>160</v>
      </c>
      <c r="C11" s="13">
        <f>VLOOKUP(B11, PLAYERS!C:E, 3, FALSE)</f>
        <v>16</v>
      </c>
      <c r="D11" s="13">
        <f>SUMIF(PLAYERS!C:C, B11, PLAYERS!E:E)</f>
        <v>16</v>
      </c>
      <c r="E11" s="14"/>
      <c r="F11" s="18">
        <v>10</v>
      </c>
      <c r="G11" s="23" t="s">
        <v>225</v>
      </c>
    </row>
    <row r="12" spans="1:20" ht="15.6" x14ac:dyDescent="0.3">
      <c r="A12" s="10">
        <v>67</v>
      </c>
      <c r="B12" s="13" t="s">
        <v>157</v>
      </c>
      <c r="C12" s="13">
        <f>VLOOKUP(B12, PLAYERS!C:E, 3, FALSE)</f>
        <v>5</v>
      </c>
      <c r="D12" s="13">
        <f>SUMIF(PLAYERS!C:C, B12, PLAYERS!E:E)</f>
        <v>16</v>
      </c>
      <c r="E12" s="14"/>
      <c r="F12" s="18">
        <v>11</v>
      </c>
      <c r="G12" s="10" t="s">
        <v>207</v>
      </c>
    </row>
    <row r="13" spans="1:20" ht="15.6" x14ac:dyDescent="0.3">
      <c r="A13" s="10">
        <v>61</v>
      </c>
      <c r="B13" s="16" t="s">
        <v>184</v>
      </c>
      <c r="C13" s="16">
        <f>VLOOKUP(B13, PLAYERS!C:E, 3, FALSE)</f>
        <v>15</v>
      </c>
      <c r="D13" s="16">
        <f>SUMIF(PLAYERS!C:C, B13, PLAYERS!E:E)</f>
        <v>15</v>
      </c>
      <c r="E13" s="17"/>
      <c r="F13" s="18">
        <v>12</v>
      </c>
      <c r="G13" s="10" t="s">
        <v>207</v>
      </c>
    </row>
    <row r="14" spans="1:20" ht="15.6" x14ac:dyDescent="0.3">
      <c r="A14" s="10">
        <v>39</v>
      </c>
      <c r="B14" s="16" t="s">
        <v>174</v>
      </c>
      <c r="C14" s="16">
        <f>VLOOKUP(B14, PLAYERS!C:E, 3, FALSE)</f>
        <v>14</v>
      </c>
      <c r="D14" s="16">
        <f>SUMIF(PLAYERS!C:C, B14, PLAYERS!E:E)</f>
        <v>14</v>
      </c>
      <c r="E14" s="17"/>
      <c r="F14" s="18">
        <v>13</v>
      </c>
      <c r="G14" s="10" t="s">
        <v>207</v>
      </c>
    </row>
    <row r="15" spans="1:20" ht="15.6" x14ac:dyDescent="0.3">
      <c r="A15" s="10">
        <v>75</v>
      </c>
      <c r="B15" s="16" t="s">
        <v>164</v>
      </c>
      <c r="C15" s="16">
        <f>VLOOKUP(B15, PLAYERS!C:E, 3, FALSE)</f>
        <v>13</v>
      </c>
      <c r="D15" s="16">
        <f>SUMIF(PLAYERS!C:C, B15, PLAYERS!E:E)</f>
        <v>13</v>
      </c>
      <c r="E15" s="17"/>
      <c r="F15" s="18">
        <v>14</v>
      </c>
      <c r="G15" s="21" t="s">
        <v>226</v>
      </c>
    </row>
    <row r="16" spans="1:20" ht="15.6" x14ac:dyDescent="0.3">
      <c r="A16" s="10">
        <v>64</v>
      </c>
      <c r="B16" s="19" t="s">
        <v>156</v>
      </c>
      <c r="C16" s="19">
        <f>VLOOKUP(B16, PLAYERS!C:E, 3, FALSE)</f>
        <v>7</v>
      </c>
      <c r="D16" s="19">
        <f>SUMIF(PLAYERS!C:C, B16, PLAYERS!E:E)</f>
        <v>12</v>
      </c>
      <c r="E16" s="20"/>
      <c r="F16" s="18">
        <v>15</v>
      </c>
      <c r="G16" s="13" t="s">
        <v>228</v>
      </c>
    </row>
    <row r="17" spans="1:6" ht="15.6" x14ac:dyDescent="0.3">
      <c r="A17" s="10">
        <v>65</v>
      </c>
      <c r="B17" s="10" t="s">
        <v>186</v>
      </c>
      <c r="C17" s="10">
        <f>VLOOKUP(B17, PLAYERS!C:E, 3, FALSE)</f>
        <v>10</v>
      </c>
      <c r="D17" s="10">
        <f>SUMIF(PLAYERS!C:C, B17, PLAYERS!E:E)</f>
        <v>10</v>
      </c>
      <c r="F17" s="11">
        <v>16</v>
      </c>
    </row>
    <row r="18" spans="1:6" ht="15.6" x14ac:dyDescent="0.3">
      <c r="A18" s="10">
        <v>27</v>
      </c>
      <c r="B18" s="10" t="s">
        <v>133</v>
      </c>
      <c r="C18" s="10">
        <f>VLOOKUP(B18, PLAYERS!C:E, 3, FALSE)</f>
        <v>8</v>
      </c>
      <c r="D18" s="10">
        <f>SUMIF(PLAYERS!C:C, B18, PLAYERS!E:E)</f>
        <v>8</v>
      </c>
      <c r="F18" s="11">
        <v>17</v>
      </c>
    </row>
    <row r="19" spans="1:6" ht="15.6" x14ac:dyDescent="0.3">
      <c r="A19" s="10">
        <v>1</v>
      </c>
      <c r="B19" s="10" t="s">
        <v>114</v>
      </c>
      <c r="C19" s="10">
        <f>VLOOKUP(B19, PLAYERS!C:E, 3, FALSE)</f>
        <v>6</v>
      </c>
      <c r="D19" s="10">
        <f>SUMIF(PLAYERS!C:C, B19, PLAYERS!E:E)</f>
        <v>6</v>
      </c>
      <c r="F19" s="11">
        <v>18</v>
      </c>
    </row>
    <row r="20" spans="1:6" ht="15.6" x14ac:dyDescent="0.3">
      <c r="A20" s="10">
        <v>8</v>
      </c>
      <c r="B20" s="10" t="s">
        <v>166</v>
      </c>
      <c r="C20" s="10">
        <f>VLOOKUP(B20, PLAYERS!C:E, 3, FALSE)</f>
        <v>6</v>
      </c>
      <c r="D20" s="10">
        <f>SUMIF(PLAYERS!C:C, B20, PLAYERS!E:E)</f>
        <v>6</v>
      </c>
      <c r="F20" s="11">
        <v>19</v>
      </c>
    </row>
    <row r="21" spans="1:6" ht="15.6" x14ac:dyDescent="0.3">
      <c r="A21" s="10">
        <v>3</v>
      </c>
      <c r="B21" s="10" t="s">
        <v>116</v>
      </c>
      <c r="C21" s="10">
        <f>VLOOKUP(B21, PLAYERS!C:E, 3, FALSE)</f>
        <v>5</v>
      </c>
      <c r="D21" s="10">
        <f>SUMIF(PLAYERS!C:C, B21, PLAYERS!E:E)</f>
        <v>5</v>
      </c>
      <c r="F21" s="11">
        <v>20</v>
      </c>
    </row>
    <row r="22" spans="1:6" ht="15.6" x14ac:dyDescent="0.3">
      <c r="A22" s="10">
        <v>25</v>
      </c>
      <c r="B22" s="10" t="s">
        <v>131</v>
      </c>
      <c r="C22" s="10">
        <f>VLOOKUP(B22, PLAYERS!C:E, 3, FALSE)</f>
        <v>3</v>
      </c>
      <c r="D22" s="10">
        <f>SUMIF(PLAYERS!C:C, B22, PLAYERS!E:E)</f>
        <v>3</v>
      </c>
      <c r="F22" s="11">
        <v>21</v>
      </c>
    </row>
    <row r="23" spans="1:6" ht="15.6" x14ac:dyDescent="0.3">
      <c r="A23" s="10">
        <v>36</v>
      </c>
      <c r="B23" s="10" t="s">
        <v>141</v>
      </c>
      <c r="C23" s="10">
        <f>VLOOKUP(B23, PLAYERS!C:E, 3, FALSE)</f>
        <v>2</v>
      </c>
      <c r="D23" s="10">
        <f>SUMIF(PLAYERS!C:C, B23, PLAYERS!E:E)</f>
        <v>2</v>
      </c>
      <c r="F23" s="11">
        <v>22</v>
      </c>
    </row>
    <row r="24" spans="1:6" ht="15.6" x14ac:dyDescent="0.3">
      <c r="A24" s="10">
        <v>2</v>
      </c>
      <c r="B24" s="10" t="s">
        <v>115</v>
      </c>
      <c r="C24" s="10" t="e">
        <f>VLOOKUP(B24, PLAYERS!C:E, 3, FALSE)</f>
        <v>#N/A</v>
      </c>
      <c r="D24" s="10">
        <f>SUMIF(PLAYERS!C:C, B24, PLAYERS!E:E)</f>
        <v>0</v>
      </c>
      <c r="F24" s="11">
        <v>23</v>
      </c>
    </row>
    <row r="25" spans="1:6" ht="15.6" x14ac:dyDescent="0.3">
      <c r="A25" s="10">
        <v>4</v>
      </c>
      <c r="B25" s="10" t="s">
        <v>117</v>
      </c>
      <c r="C25" s="10" t="e">
        <f>VLOOKUP(B25, PLAYERS!C:E, 3, FALSE)</f>
        <v>#N/A</v>
      </c>
      <c r="D25" s="10">
        <f>SUMIF(PLAYERS!C:C, B25, PLAYERS!E:E)</f>
        <v>0</v>
      </c>
      <c r="F25" s="11">
        <v>24</v>
      </c>
    </row>
    <row r="26" spans="1:6" ht="15.6" x14ac:dyDescent="0.3">
      <c r="A26" s="10">
        <v>5</v>
      </c>
      <c r="B26" s="10" t="s">
        <v>118</v>
      </c>
      <c r="C26" s="10" t="e">
        <f>VLOOKUP(B26, PLAYERS!C:E, 3, FALSE)</f>
        <v>#N/A</v>
      </c>
      <c r="D26" s="10">
        <f>SUMIF(PLAYERS!C:C, B26, PLAYERS!E:E)</f>
        <v>0</v>
      </c>
      <c r="F26" s="11"/>
    </row>
    <row r="27" spans="1:6" ht="15.6" x14ac:dyDescent="0.3">
      <c r="A27" s="10">
        <v>6</v>
      </c>
      <c r="B27" s="10" t="s">
        <v>119</v>
      </c>
      <c r="C27" s="10" t="e">
        <f>VLOOKUP(B27, PLAYERS!C:E, 3, FALSE)</f>
        <v>#N/A</v>
      </c>
      <c r="D27" s="10">
        <f>SUMIF(PLAYERS!C:C, B27, PLAYERS!E:E)</f>
        <v>0</v>
      </c>
    </row>
    <row r="28" spans="1:6" ht="15.6" x14ac:dyDescent="0.3">
      <c r="A28" s="10">
        <v>7</v>
      </c>
      <c r="B28" s="10" t="s">
        <v>120</v>
      </c>
      <c r="C28" s="10" t="e">
        <f>VLOOKUP(B28, PLAYERS!C:E, 3, FALSE)</f>
        <v>#N/A</v>
      </c>
      <c r="D28" s="10">
        <f>SUMIF(PLAYERS!C:C, B28, PLAYERS!E:E)</f>
        <v>0</v>
      </c>
    </row>
    <row r="29" spans="1:6" ht="15.6" x14ac:dyDescent="0.3">
      <c r="A29" s="10">
        <v>9</v>
      </c>
      <c r="B29" s="10" t="s">
        <v>121</v>
      </c>
      <c r="C29" s="10" t="e">
        <f>VLOOKUP(B29, PLAYERS!C:E, 3, FALSE)</f>
        <v>#N/A</v>
      </c>
      <c r="D29" s="10">
        <f>SUMIF(PLAYERS!C:C, B29, PLAYERS!E:E)</f>
        <v>0</v>
      </c>
    </row>
    <row r="30" spans="1:6" ht="15.6" x14ac:dyDescent="0.3">
      <c r="A30" s="10">
        <v>10</v>
      </c>
      <c r="B30" s="10" t="s">
        <v>122</v>
      </c>
      <c r="C30" s="10" t="e">
        <f>VLOOKUP(B30, PLAYERS!C:E, 3, FALSE)</f>
        <v>#N/A</v>
      </c>
      <c r="D30" s="10">
        <f>SUMIF(PLAYERS!C:C, B30, PLAYERS!E:E)</f>
        <v>0</v>
      </c>
    </row>
    <row r="31" spans="1:6" ht="15.6" x14ac:dyDescent="0.3">
      <c r="A31" s="10">
        <v>11</v>
      </c>
      <c r="B31" s="10" t="s">
        <v>167</v>
      </c>
      <c r="C31" s="10" t="e">
        <f>VLOOKUP(B31, PLAYERS!C:E, 3, FALSE)</f>
        <v>#N/A</v>
      </c>
      <c r="D31" s="10">
        <f>SUMIF(PLAYERS!C:C, B31, PLAYERS!E:E)</f>
        <v>0</v>
      </c>
    </row>
    <row r="32" spans="1:6" ht="15.6" x14ac:dyDescent="0.3">
      <c r="A32" s="10">
        <v>12</v>
      </c>
      <c r="B32" s="10" t="s">
        <v>168</v>
      </c>
      <c r="C32" s="10" t="e">
        <f>VLOOKUP(B32, PLAYERS!C:E, 3, FALSE)</f>
        <v>#N/A</v>
      </c>
      <c r="D32" s="10">
        <f>SUMIF(PLAYERS!C:C, B32, PLAYERS!E:E)</f>
        <v>0</v>
      </c>
    </row>
    <row r="33" spans="1:4" ht="15.6" x14ac:dyDescent="0.3">
      <c r="A33" s="10">
        <v>13</v>
      </c>
      <c r="B33" s="10" t="s">
        <v>123</v>
      </c>
      <c r="C33" s="10" t="e">
        <f>VLOOKUP(B33, PLAYERS!C:E, 3, FALSE)</f>
        <v>#N/A</v>
      </c>
      <c r="D33" s="10">
        <f>SUMIF(PLAYERS!C:C, B33, PLAYERS!E:E)</f>
        <v>0</v>
      </c>
    </row>
    <row r="34" spans="1:4" ht="15.6" x14ac:dyDescent="0.3">
      <c r="A34" s="10">
        <v>14</v>
      </c>
      <c r="B34" s="10" t="s">
        <v>169</v>
      </c>
      <c r="C34" s="10" t="e">
        <f>VLOOKUP(B34, PLAYERS!C:E, 3, FALSE)</f>
        <v>#N/A</v>
      </c>
      <c r="D34" s="10">
        <f>SUMIF(PLAYERS!C:C, B34, PLAYERS!E:E)</f>
        <v>0</v>
      </c>
    </row>
    <row r="35" spans="1:4" ht="15.6" x14ac:dyDescent="0.3">
      <c r="A35" s="10">
        <v>15</v>
      </c>
      <c r="B35" s="10" t="s">
        <v>170</v>
      </c>
      <c r="C35" s="10" t="e">
        <f>VLOOKUP(B35, PLAYERS!C:E, 3, FALSE)</f>
        <v>#N/A</v>
      </c>
      <c r="D35" s="10">
        <f>SUMIF(PLAYERS!C:C, B35, PLAYERS!E:E)</f>
        <v>0</v>
      </c>
    </row>
    <row r="36" spans="1:4" ht="15.6" x14ac:dyDescent="0.3">
      <c r="A36" s="10">
        <v>16</v>
      </c>
      <c r="B36" s="10" t="s">
        <v>124</v>
      </c>
      <c r="C36" s="10" t="e">
        <f>VLOOKUP(B36, PLAYERS!C:E, 3, FALSE)</f>
        <v>#N/A</v>
      </c>
      <c r="D36" s="10">
        <f>SUMIF(PLAYERS!C:C, B36, PLAYERS!E:E)</f>
        <v>0</v>
      </c>
    </row>
    <row r="37" spans="1:4" ht="15.6" x14ac:dyDescent="0.3">
      <c r="A37" s="10">
        <v>18</v>
      </c>
      <c r="B37" s="10" t="s">
        <v>171</v>
      </c>
      <c r="C37" s="10" t="e">
        <f>VLOOKUP(B37, PLAYERS!C:E, 3, FALSE)</f>
        <v>#N/A</v>
      </c>
      <c r="D37" s="10">
        <f>SUMIF(PLAYERS!C:C, B37, PLAYERS!E:E)</f>
        <v>0</v>
      </c>
    </row>
    <row r="38" spans="1:4" ht="15.6" x14ac:dyDescent="0.3">
      <c r="A38" s="10">
        <v>19</v>
      </c>
      <c r="B38" s="10" t="s">
        <v>126</v>
      </c>
      <c r="C38" s="10" t="e">
        <f>VLOOKUP(B38, PLAYERS!C:E, 3, FALSE)</f>
        <v>#N/A</v>
      </c>
      <c r="D38" s="10">
        <f>SUMIF(PLAYERS!C:C, B38, PLAYERS!E:E)</f>
        <v>0</v>
      </c>
    </row>
    <row r="39" spans="1:4" ht="15.6" x14ac:dyDescent="0.3">
      <c r="A39" s="10">
        <v>20</v>
      </c>
      <c r="B39" s="10" t="s">
        <v>127</v>
      </c>
      <c r="C39" s="10" t="e">
        <f>VLOOKUP(B39, PLAYERS!C:E, 3, FALSE)</f>
        <v>#N/A</v>
      </c>
      <c r="D39" s="10">
        <f>SUMIF(PLAYERS!C:C, B39, PLAYERS!E:E)</f>
        <v>0</v>
      </c>
    </row>
    <row r="40" spans="1:4" ht="15.6" x14ac:dyDescent="0.3">
      <c r="A40" s="10">
        <v>21</v>
      </c>
      <c r="B40" s="10" t="s">
        <v>128</v>
      </c>
      <c r="C40" s="10" t="e">
        <f>VLOOKUP(B40, PLAYERS!C:E, 3, FALSE)</f>
        <v>#N/A</v>
      </c>
      <c r="D40" s="10">
        <f>SUMIF(PLAYERS!C:C, B40, PLAYERS!E:E)</f>
        <v>0</v>
      </c>
    </row>
    <row r="41" spans="1:4" ht="15.6" x14ac:dyDescent="0.3">
      <c r="A41" s="10">
        <v>22</v>
      </c>
      <c r="B41" s="10" t="s">
        <v>172</v>
      </c>
      <c r="C41" s="10" t="e">
        <f>VLOOKUP(B41, PLAYERS!C:E, 3, FALSE)</f>
        <v>#N/A</v>
      </c>
      <c r="D41" s="10">
        <f>SUMIF(PLAYERS!C:C, B41, PLAYERS!E:E)</f>
        <v>0</v>
      </c>
    </row>
    <row r="42" spans="1:4" ht="15.6" x14ac:dyDescent="0.3">
      <c r="A42" s="10">
        <v>23</v>
      </c>
      <c r="B42" s="10" t="s">
        <v>129</v>
      </c>
      <c r="C42" s="10" t="str">
        <f>VLOOKUP(B42, PLAYERS!C:E, 3, FALSE)</f>
        <v>x13</v>
      </c>
      <c r="D42" s="10">
        <f>SUMIF(PLAYERS!C:C, B42, PLAYERS!E:E)</f>
        <v>0</v>
      </c>
    </row>
    <row r="43" spans="1:4" ht="15.6" x14ac:dyDescent="0.3">
      <c r="A43" s="10">
        <v>24</v>
      </c>
      <c r="B43" s="10" t="s">
        <v>130</v>
      </c>
      <c r="C43" s="10" t="e">
        <f>VLOOKUP(B43, PLAYERS!C:E, 3, FALSE)</f>
        <v>#N/A</v>
      </c>
      <c r="D43" s="10">
        <f>SUMIF(PLAYERS!C:C, B43, PLAYERS!E:E)</f>
        <v>0</v>
      </c>
    </row>
    <row r="44" spans="1:4" ht="15.6" x14ac:dyDescent="0.3">
      <c r="A44" s="10">
        <v>26</v>
      </c>
      <c r="B44" s="10" t="s">
        <v>132</v>
      </c>
      <c r="C44" s="10" t="e">
        <f>VLOOKUP(B44, PLAYERS!C:E, 3, FALSE)</f>
        <v>#N/A</v>
      </c>
      <c r="D44" s="10">
        <f>SUMIF(PLAYERS!C:C, B44, PLAYERS!E:E)</f>
        <v>0</v>
      </c>
    </row>
    <row r="45" spans="1:4" ht="15.6" x14ac:dyDescent="0.3">
      <c r="A45" s="10">
        <v>28</v>
      </c>
      <c r="B45" s="10" t="s">
        <v>134</v>
      </c>
      <c r="C45" s="10" t="e">
        <f>VLOOKUP(B45, PLAYERS!C:E, 3, FALSE)</f>
        <v>#N/A</v>
      </c>
      <c r="D45" s="10">
        <f>SUMIF(PLAYERS!C:C, B45, PLAYERS!E:E)</f>
        <v>0</v>
      </c>
    </row>
    <row r="46" spans="1:4" ht="15.6" x14ac:dyDescent="0.3">
      <c r="A46" s="10">
        <v>29</v>
      </c>
      <c r="B46" s="10" t="s">
        <v>135</v>
      </c>
      <c r="C46" s="10" t="e">
        <f>VLOOKUP(B46, PLAYERS!C:E, 3, FALSE)</f>
        <v>#N/A</v>
      </c>
      <c r="D46" s="10">
        <f>SUMIF(PLAYERS!C:C, B46, PLAYERS!E:E)</f>
        <v>0</v>
      </c>
    </row>
    <row r="47" spans="1:4" ht="15.6" x14ac:dyDescent="0.3">
      <c r="A47" s="10">
        <v>30</v>
      </c>
      <c r="B47" s="10" t="s">
        <v>136</v>
      </c>
      <c r="C47" s="10" t="e">
        <f>VLOOKUP(B47, PLAYERS!C:E, 3, FALSE)</f>
        <v>#N/A</v>
      </c>
      <c r="D47" s="10">
        <f>SUMIF(PLAYERS!C:C, B47, PLAYERS!E:E)</f>
        <v>0</v>
      </c>
    </row>
    <row r="48" spans="1:4" ht="15.6" x14ac:dyDescent="0.3">
      <c r="A48" s="10">
        <v>33</v>
      </c>
      <c r="B48" s="10" t="s">
        <v>193</v>
      </c>
      <c r="C48" s="10" t="e">
        <f>VLOOKUP(B48, PLAYERS!C:E, 3, FALSE)</f>
        <v>#N/A</v>
      </c>
      <c r="D48" s="10">
        <f>SUMIF(PLAYERS!C:C, B48, PLAYERS!E:E)</f>
        <v>0</v>
      </c>
    </row>
    <row r="49" spans="1:4" ht="15.6" x14ac:dyDescent="0.3">
      <c r="A49" s="10">
        <v>35</v>
      </c>
      <c r="B49" s="10" t="s">
        <v>140</v>
      </c>
      <c r="C49" s="10" t="e">
        <f>VLOOKUP(B49, PLAYERS!C:E, 3, FALSE)</f>
        <v>#N/A</v>
      </c>
      <c r="D49" s="10">
        <f>SUMIF(PLAYERS!C:C, B49, PLAYERS!E:E)</f>
        <v>0</v>
      </c>
    </row>
    <row r="50" spans="1:4" ht="15.6" x14ac:dyDescent="0.3">
      <c r="A50" s="10">
        <v>37</v>
      </c>
      <c r="B50" s="10" t="s">
        <v>176</v>
      </c>
      <c r="C50" s="10" t="e">
        <f>VLOOKUP(B50, PLAYERS!C:E, 3, FALSE)</f>
        <v>#N/A</v>
      </c>
      <c r="D50" s="10">
        <f>SUMIF(PLAYERS!C:C, B50, PLAYERS!E:E)</f>
        <v>0</v>
      </c>
    </row>
    <row r="51" spans="1:4" ht="15.6" x14ac:dyDescent="0.3">
      <c r="A51" s="10">
        <v>38</v>
      </c>
      <c r="B51" s="10" t="s">
        <v>173</v>
      </c>
      <c r="C51" s="10" t="e">
        <f>VLOOKUP(B51, PLAYERS!C:E, 3, FALSE)</f>
        <v>#N/A</v>
      </c>
      <c r="D51" s="10">
        <f>SUMIF(PLAYERS!C:C, B51, PLAYERS!E:E)</f>
        <v>0</v>
      </c>
    </row>
    <row r="52" spans="1:4" ht="15.6" x14ac:dyDescent="0.3">
      <c r="A52" s="10">
        <v>41</v>
      </c>
      <c r="B52" s="10" t="s">
        <v>178</v>
      </c>
      <c r="C52" s="10" t="e">
        <f>VLOOKUP(B52, PLAYERS!C:E, 3, FALSE)</f>
        <v>#N/A</v>
      </c>
      <c r="D52" s="10">
        <f>SUMIF(PLAYERS!C:C, B52, PLAYERS!E:E)</f>
        <v>0</v>
      </c>
    </row>
    <row r="53" spans="1:4" ht="15.6" x14ac:dyDescent="0.3">
      <c r="A53" s="10">
        <v>43</v>
      </c>
      <c r="B53" s="10" t="s">
        <v>175</v>
      </c>
      <c r="C53" s="10" t="e">
        <f>VLOOKUP(B53, PLAYERS!C:E, 3, FALSE)</f>
        <v>#N/A</v>
      </c>
      <c r="D53" s="10">
        <f>SUMIF(PLAYERS!C:C, B53, PLAYERS!E:E)</f>
        <v>0</v>
      </c>
    </row>
    <row r="54" spans="1:4" ht="15.6" x14ac:dyDescent="0.3">
      <c r="A54" s="10">
        <v>44</v>
      </c>
      <c r="B54" s="10" t="s">
        <v>177</v>
      </c>
      <c r="C54" s="10" t="e">
        <f>VLOOKUP(B54, PLAYERS!C:E, 3, FALSE)</f>
        <v>#N/A</v>
      </c>
      <c r="D54" s="10">
        <f>SUMIF(PLAYERS!C:C, B54, PLAYERS!E:E)</f>
        <v>0</v>
      </c>
    </row>
    <row r="55" spans="1:4" ht="15.6" x14ac:dyDescent="0.3">
      <c r="A55" s="10">
        <v>45</v>
      </c>
      <c r="B55" s="10" t="s">
        <v>179</v>
      </c>
      <c r="C55" s="10" t="e">
        <f>VLOOKUP(B55, PLAYERS!C:E, 3, FALSE)</f>
        <v>#N/A</v>
      </c>
      <c r="D55" s="10">
        <f>SUMIF(PLAYERS!C:C, B55, PLAYERS!E:E)</f>
        <v>0</v>
      </c>
    </row>
    <row r="56" spans="1:4" ht="15.6" x14ac:dyDescent="0.3">
      <c r="A56" s="10">
        <v>46</v>
      </c>
      <c r="B56" s="10" t="s">
        <v>144</v>
      </c>
      <c r="C56" s="10" t="e">
        <f>VLOOKUP(B56, PLAYERS!C:E, 3, FALSE)</f>
        <v>#N/A</v>
      </c>
      <c r="D56" s="10">
        <f>SUMIF(PLAYERS!C:C, B56, PLAYERS!E:E)</f>
        <v>0</v>
      </c>
    </row>
    <row r="57" spans="1:4" ht="15.6" x14ac:dyDescent="0.3">
      <c r="A57" s="10">
        <v>47</v>
      </c>
      <c r="B57" s="10" t="s">
        <v>180</v>
      </c>
      <c r="C57" s="10" t="e">
        <f>VLOOKUP(B57, PLAYERS!C:E, 3, FALSE)</f>
        <v>#N/A</v>
      </c>
      <c r="D57" s="10">
        <f>SUMIF(PLAYERS!C:C, B57, PLAYERS!E:E)</f>
        <v>0</v>
      </c>
    </row>
    <row r="58" spans="1:4" ht="15.6" x14ac:dyDescent="0.3">
      <c r="A58" s="10">
        <v>48</v>
      </c>
      <c r="B58" s="10" t="s">
        <v>145</v>
      </c>
      <c r="C58" s="10" t="e">
        <f>VLOOKUP(B58, PLAYERS!C:E, 3, FALSE)</f>
        <v>#N/A</v>
      </c>
      <c r="D58" s="10">
        <f>SUMIF(PLAYERS!C:C, B58, PLAYERS!E:E)</f>
        <v>0</v>
      </c>
    </row>
    <row r="59" spans="1:4" ht="15.6" x14ac:dyDescent="0.3">
      <c r="A59" s="10">
        <v>49</v>
      </c>
      <c r="B59" s="10" t="s">
        <v>146</v>
      </c>
      <c r="C59" s="10" t="e">
        <f>VLOOKUP(B59, PLAYERS!C:E, 3, FALSE)</f>
        <v>#N/A</v>
      </c>
      <c r="D59" s="10">
        <f>SUMIF(PLAYERS!C:C, B59, PLAYERS!E:E)</f>
        <v>0</v>
      </c>
    </row>
    <row r="60" spans="1:4" ht="15.6" x14ac:dyDescent="0.3">
      <c r="A60" s="10">
        <v>50</v>
      </c>
      <c r="B60" s="10" t="s">
        <v>147</v>
      </c>
      <c r="C60" s="10" t="e">
        <f>VLOOKUP(B60, PLAYERS!C:E, 3, FALSE)</f>
        <v>#N/A</v>
      </c>
      <c r="D60" s="10">
        <f>SUMIF(PLAYERS!C:C, B60, PLAYERS!E:E)</f>
        <v>0</v>
      </c>
    </row>
    <row r="61" spans="1:4" ht="15.6" x14ac:dyDescent="0.3">
      <c r="A61" s="10">
        <v>51</v>
      </c>
      <c r="B61" s="10" t="s">
        <v>148</v>
      </c>
      <c r="C61" s="10" t="e">
        <f>VLOOKUP(B61, PLAYERS!C:E, 3, FALSE)</f>
        <v>#N/A</v>
      </c>
      <c r="D61" s="10">
        <f>SUMIF(PLAYERS!C:C, B61, PLAYERS!E:E)</f>
        <v>0</v>
      </c>
    </row>
    <row r="62" spans="1:4" ht="15.6" x14ac:dyDescent="0.3">
      <c r="A62" s="10">
        <v>52</v>
      </c>
      <c r="B62" s="10" t="s">
        <v>181</v>
      </c>
      <c r="C62" s="10" t="e">
        <f>VLOOKUP(B62, PLAYERS!C:E, 3, FALSE)</f>
        <v>#N/A</v>
      </c>
      <c r="D62" s="10">
        <f>SUMIF(PLAYERS!C:C, B62, PLAYERS!E:E)</f>
        <v>0</v>
      </c>
    </row>
    <row r="63" spans="1:4" ht="15.6" x14ac:dyDescent="0.3">
      <c r="A63" s="10">
        <v>53</v>
      </c>
      <c r="B63" s="10" t="s">
        <v>149</v>
      </c>
      <c r="C63" s="10" t="e">
        <f>VLOOKUP(B63, PLAYERS!C:E, 3, FALSE)</f>
        <v>#N/A</v>
      </c>
      <c r="D63" s="10">
        <f>SUMIF(PLAYERS!C:C, B63, PLAYERS!E:E)</f>
        <v>0</v>
      </c>
    </row>
    <row r="64" spans="1:4" ht="15.6" x14ac:dyDescent="0.3">
      <c r="A64" s="10">
        <v>54</v>
      </c>
      <c r="B64" s="10" t="s">
        <v>150</v>
      </c>
      <c r="C64" s="10" t="e">
        <f>VLOOKUP(B64, PLAYERS!C:E, 3, FALSE)</f>
        <v>#N/A</v>
      </c>
      <c r="D64" s="10">
        <f>SUMIF(PLAYERS!C:C, B64, PLAYERS!E:E)</f>
        <v>0</v>
      </c>
    </row>
    <row r="65" spans="1:4" ht="15.6" x14ac:dyDescent="0.3">
      <c r="A65" s="10">
        <v>55</v>
      </c>
      <c r="B65" s="10" t="s">
        <v>151</v>
      </c>
      <c r="C65" s="10" t="e">
        <f>VLOOKUP(B65, PLAYERS!C:E, 3, FALSE)</f>
        <v>#N/A</v>
      </c>
      <c r="D65" s="10">
        <f>SUMIF(PLAYERS!C:C, B65, PLAYERS!E:E)</f>
        <v>0</v>
      </c>
    </row>
    <row r="66" spans="1:4" ht="15.6" x14ac:dyDescent="0.3">
      <c r="A66" s="10">
        <v>56</v>
      </c>
      <c r="B66" s="10" t="s">
        <v>182</v>
      </c>
      <c r="C66" s="10" t="e">
        <f>VLOOKUP(B66, PLAYERS!C:E, 3, FALSE)</f>
        <v>#N/A</v>
      </c>
      <c r="D66" s="10">
        <f>SUMIF(PLAYERS!C:C, B66, PLAYERS!E:E)</f>
        <v>0</v>
      </c>
    </row>
    <row r="67" spans="1:4" ht="15.6" x14ac:dyDescent="0.3">
      <c r="A67" s="10">
        <v>57</v>
      </c>
      <c r="B67" s="10" t="s">
        <v>183</v>
      </c>
      <c r="C67" s="10" t="e">
        <f>VLOOKUP(B67, PLAYERS!C:E, 3, FALSE)</f>
        <v>#N/A</v>
      </c>
      <c r="D67" s="10">
        <f>SUMIF(PLAYERS!C:C, B67, PLAYERS!E:E)</f>
        <v>0</v>
      </c>
    </row>
    <row r="68" spans="1:4" ht="15.6" x14ac:dyDescent="0.3">
      <c r="A68" s="10">
        <v>58</v>
      </c>
      <c r="B68" s="10" t="s">
        <v>152</v>
      </c>
      <c r="C68" s="10" t="e">
        <f>VLOOKUP(B68, PLAYERS!C:E, 3, FALSE)</f>
        <v>#N/A</v>
      </c>
      <c r="D68" s="10">
        <f>SUMIF(PLAYERS!C:C, B68, PLAYERS!E:E)</f>
        <v>0</v>
      </c>
    </row>
    <row r="69" spans="1:4" ht="15.6" x14ac:dyDescent="0.3">
      <c r="A69" s="10">
        <v>60</v>
      </c>
      <c r="B69" s="10" t="s">
        <v>154</v>
      </c>
      <c r="C69" s="10" t="e">
        <f>VLOOKUP(B69, PLAYERS!C:E, 3, FALSE)</f>
        <v>#N/A</v>
      </c>
      <c r="D69" s="10">
        <f>SUMIF(PLAYERS!C:C, B69, PLAYERS!E:E)</f>
        <v>0</v>
      </c>
    </row>
    <row r="70" spans="1:4" ht="15.6" x14ac:dyDescent="0.3">
      <c r="A70" s="10">
        <v>62</v>
      </c>
      <c r="B70" s="10" t="s">
        <v>155</v>
      </c>
      <c r="C70" s="10" t="e">
        <f>VLOOKUP(B70, PLAYERS!C:E, 3, FALSE)</f>
        <v>#N/A</v>
      </c>
      <c r="D70" s="10">
        <f>SUMIF(PLAYERS!C:C, B70, PLAYERS!E:E)</f>
        <v>0</v>
      </c>
    </row>
    <row r="71" spans="1:4" ht="15.6" x14ac:dyDescent="0.3">
      <c r="A71" s="10">
        <v>63</v>
      </c>
      <c r="B71" s="10" t="s">
        <v>185</v>
      </c>
      <c r="C71" s="10" t="e">
        <f>VLOOKUP(B71, PLAYERS!C:E, 3, FALSE)</f>
        <v>#N/A</v>
      </c>
      <c r="D71" s="10">
        <f>SUMIF(PLAYERS!C:C, B71, PLAYERS!E:E)</f>
        <v>0</v>
      </c>
    </row>
    <row r="72" spans="1:4" ht="15.6" x14ac:dyDescent="0.3">
      <c r="A72" s="10">
        <v>66</v>
      </c>
      <c r="B72" s="10" t="s">
        <v>187</v>
      </c>
      <c r="C72" s="10" t="e">
        <f>VLOOKUP(B72, PLAYERS!C:E, 3, FALSE)</f>
        <v>#N/A</v>
      </c>
      <c r="D72" s="10">
        <f>SUMIF(PLAYERS!C:C, B72, PLAYERS!E:E)</f>
        <v>0</v>
      </c>
    </row>
    <row r="73" spans="1:4" ht="15.6" x14ac:dyDescent="0.3">
      <c r="A73" s="10">
        <v>68</v>
      </c>
      <c r="B73" s="10" t="s">
        <v>188</v>
      </c>
      <c r="C73" s="10" t="e">
        <f>VLOOKUP(B73, PLAYERS!C:E, 3, FALSE)</f>
        <v>#N/A</v>
      </c>
      <c r="D73" s="10">
        <f>SUMIF(PLAYERS!C:C, B73, PLAYERS!E:E)</f>
        <v>0</v>
      </c>
    </row>
    <row r="74" spans="1:4" ht="15.6" x14ac:dyDescent="0.3">
      <c r="A74" s="10">
        <v>69</v>
      </c>
      <c r="B74" s="10" t="s">
        <v>158</v>
      </c>
      <c r="C74" s="10" t="e">
        <f>VLOOKUP(B74, PLAYERS!C:E, 3, FALSE)</f>
        <v>#N/A</v>
      </c>
      <c r="D74" s="10">
        <f>SUMIF(PLAYERS!C:C, B74, PLAYERS!E:E)</f>
        <v>0</v>
      </c>
    </row>
    <row r="75" spans="1:4" ht="15.6" x14ac:dyDescent="0.3">
      <c r="A75" s="10">
        <v>70</v>
      </c>
      <c r="B75" s="10" t="s">
        <v>159</v>
      </c>
      <c r="C75" s="10" t="e">
        <f>VLOOKUP(B75, PLAYERS!C:E, 3, FALSE)</f>
        <v>#N/A</v>
      </c>
      <c r="D75" s="10">
        <f>SUMIF(PLAYERS!C:C, B75, PLAYERS!E:E)</f>
        <v>0</v>
      </c>
    </row>
    <row r="76" spans="1:4" ht="15.6" x14ac:dyDescent="0.3">
      <c r="A76" s="10">
        <v>73</v>
      </c>
      <c r="B76" s="10" t="s">
        <v>162</v>
      </c>
      <c r="C76" s="10" t="e">
        <f>VLOOKUP(B76, PLAYERS!C:E, 3, FALSE)</f>
        <v>#N/A</v>
      </c>
      <c r="D76" s="10">
        <f>SUMIF(PLAYERS!C:C, B76, PLAYERS!E:E)</f>
        <v>0</v>
      </c>
    </row>
    <row r="77" spans="1:4" ht="15.6" x14ac:dyDescent="0.3">
      <c r="A77" s="10">
        <v>74</v>
      </c>
      <c r="B77" s="10" t="s">
        <v>163</v>
      </c>
      <c r="C77" s="10" t="e">
        <f>VLOOKUP(B77, PLAYERS!C:E, 3, FALSE)</f>
        <v>#N/A</v>
      </c>
      <c r="D77" s="10">
        <f>SUMIF(PLAYERS!C:C, B77, PLAYERS!E:E)</f>
        <v>0</v>
      </c>
    </row>
    <row r="78" spans="1:4" ht="15.6" x14ac:dyDescent="0.3">
      <c r="A78" s="10">
        <v>76</v>
      </c>
      <c r="B78" s="10" t="s">
        <v>165</v>
      </c>
      <c r="C78" s="10" t="e">
        <f>VLOOKUP(B78, PLAYERS!C:E, 3, FALSE)</f>
        <v>#N/A</v>
      </c>
      <c r="D78" s="10">
        <f>SUMIF(PLAYERS!C:C, B78, PLAYERS!E:E)</f>
        <v>0</v>
      </c>
    </row>
    <row r="79" spans="1:4" ht="15.6" x14ac:dyDescent="0.3">
      <c r="A79" s="10">
        <v>78</v>
      </c>
      <c r="B79" s="10" t="s">
        <v>190</v>
      </c>
      <c r="C79" s="10" t="e">
        <f>VLOOKUP(B79, PLAYERS!C:E, 3, FALSE)</f>
        <v>#N/A</v>
      </c>
      <c r="D79" s="10">
        <f>SUMIF(PLAYERS!C:C, B79, PLAYERS!E:E)</f>
        <v>0</v>
      </c>
    </row>
    <row r="80" spans="1:4" ht="15.6" x14ac:dyDescent="0.3">
      <c r="A80" s="10">
        <v>79</v>
      </c>
      <c r="B80" s="10" t="s">
        <v>189</v>
      </c>
      <c r="C80" s="10" t="e">
        <f>VLOOKUP(B80, PLAYERS!C:E, 3, FALSE)</f>
        <v>#N/A</v>
      </c>
      <c r="D80" s="10">
        <f>SUMIF(PLAYERS!C:C, B80, PLAYERS!E:E)</f>
        <v>0</v>
      </c>
    </row>
    <row r="81" spans="1:4" ht="15.6" x14ac:dyDescent="0.3">
      <c r="A81" s="10"/>
      <c r="B81" s="10"/>
      <c r="C81" s="10"/>
      <c r="D81" s="10"/>
    </row>
    <row r="82" spans="1:4" ht="15.6" x14ac:dyDescent="0.3">
      <c r="A82" s="10"/>
      <c r="B82" s="10"/>
      <c r="C82" s="10"/>
      <c r="D82" s="10"/>
    </row>
    <row r="83" spans="1:4" ht="15.6" x14ac:dyDescent="0.3">
      <c r="A83" s="10"/>
      <c r="B83" s="10"/>
      <c r="C83" s="10"/>
      <c r="D83" s="10"/>
    </row>
    <row r="84" spans="1:4" ht="15.6" x14ac:dyDescent="0.3">
      <c r="A84" s="10"/>
      <c r="B84" s="10"/>
      <c r="C84" s="10"/>
      <c r="D84" s="10"/>
    </row>
    <row r="85" spans="1:4" ht="15.6" x14ac:dyDescent="0.3">
      <c r="A85" s="10"/>
      <c r="B85" s="10"/>
      <c r="C85" s="10"/>
      <c r="D85" s="10"/>
    </row>
    <row r="86" spans="1:4" ht="15.6" x14ac:dyDescent="0.3">
      <c r="A86" s="10"/>
      <c r="B86" s="10"/>
      <c r="C86" s="10"/>
      <c r="D86" s="10"/>
    </row>
    <row r="87" spans="1:4" ht="15.6" x14ac:dyDescent="0.3">
      <c r="A87" s="10"/>
      <c r="B87" s="10"/>
      <c r="C87" s="10"/>
      <c r="D87" s="10"/>
    </row>
    <row r="88" spans="1:4" ht="15.6" x14ac:dyDescent="0.3">
      <c r="A88" s="10"/>
      <c r="B88" s="10"/>
      <c r="C88" s="10"/>
      <c r="D88" s="10"/>
    </row>
    <row r="89" spans="1:4" ht="15.6" x14ac:dyDescent="0.3">
      <c r="A89" s="10"/>
      <c r="B89" s="10"/>
      <c r="C89" s="10"/>
      <c r="D89" s="10"/>
    </row>
    <row r="90" spans="1:4" ht="15.6" x14ac:dyDescent="0.3">
      <c r="A90" s="10"/>
      <c r="B90" s="10"/>
      <c r="C90" s="10"/>
      <c r="D90" s="10"/>
    </row>
    <row r="91" spans="1:4" ht="15.6" x14ac:dyDescent="0.3">
      <c r="A91" s="10"/>
      <c r="B91" s="10"/>
      <c r="C91" s="10"/>
      <c r="D91" s="10"/>
    </row>
    <row r="92" spans="1:4" ht="15.6" x14ac:dyDescent="0.3">
      <c r="A92" s="10"/>
      <c r="B92" s="10"/>
      <c r="C92" s="10"/>
      <c r="D92" s="10"/>
    </row>
    <row r="93" spans="1:4" ht="15.6" x14ac:dyDescent="0.3">
      <c r="A93" s="10"/>
      <c r="B93" s="10"/>
      <c r="C93" s="10"/>
      <c r="D93" s="10"/>
    </row>
    <row r="94" spans="1:4" ht="15.6" x14ac:dyDescent="0.3">
      <c r="A94" s="10"/>
      <c r="B94" s="10"/>
      <c r="C94" s="10"/>
      <c r="D94" s="10"/>
    </row>
    <row r="95" spans="1:4" ht="15.6" x14ac:dyDescent="0.3">
      <c r="A95" s="10"/>
      <c r="B95" s="10"/>
      <c r="C95" s="10"/>
      <c r="D95" s="10"/>
    </row>
    <row r="96" spans="1:4" ht="15.6" x14ac:dyDescent="0.3">
      <c r="A96" s="10"/>
      <c r="B96" s="10"/>
      <c r="C96" s="10"/>
      <c r="D96" s="10"/>
    </row>
    <row r="97" spans="1:4" ht="15.6" x14ac:dyDescent="0.3">
      <c r="A97" s="10"/>
      <c r="B97" s="10"/>
      <c r="C97" s="10"/>
      <c r="D97" s="10"/>
    </row>
    <row r="98" spans="1:4" ht="15.6" x14ac:dyDescent="0.3">
      <c r="A98" s="10"/>
      <c r="B98" s="10"/>
      <c r="C98" s="10"/>
      <c r="D98" s="10"/>
    </row>
    <row r="99" spans="1:4" ht="15.6" x14ac:dyDescent="0.3">
      <c r="A99" s="10"/>
      <c r="B99" s="10"/>
      <c r="C99" s="10"/>
      <c r="D99" s="10"/>
    </row>
    <row r="100" spans="1:4" ht="15.6" x14ac:dyDescent="0.3">
      <c r="A100" s="10"/>
      <c r="B100" s="10"/>
      <c r="C100" s="10"/>
      <c r="D100" s="10"/>
    </row>
    <row r="101" spans="1:4" ht="15.6" x14ac:dyDescent="0.3">
      <c r="A101" s="10"/>
      <c r="B101" s="10"/>
      <c r="C101" s="10"/>
      <c r="D101" s="10"/>
    </row>
    <row r="102" spans="1:4" ht="15.6" x14ac:dyDescent="0.3">
      <c r="A102" s="10"/>
      <c r="B102" s="10"/>
      <c r="C102" s="10"/>
      <c r="D102" s="10"/>
    </row>
    <row r="103" spans="1:4" ht="15.6" x14ac:dyDescent="0.3">
      <c r="A103" s="10"/>
      <c r="B103" s="10"/>
      <c r="C103" s="10"/>
      <c r="D103" s="10"/>
    </row>
    <row r="104" spans="1:4" ht="15.6" x14ac:dyDescent="0.3">
      <c r="A104" s="10"/>
      <c r="B104" s="10"/>
      <c r="C104" s="10"/>
      <c r="D104" s="10"/>
    </row>
    <row r="105" spans="1:4" ht="15.6" x14ac:dyDescent="0.3">
      <c r="A105" s="10"/>
      <c r="B105" s="10"/>
      <c r="C105" s="10"/>
      <c r="D105" s="10"/>
    </row>
    <row r="106" spans="1:4" ht="15.6" x14ac:dyDescent="0.3">
      <c r="A106" s="10"/>
      <c r="B106" s="10"/>
      <c r="C106" s="10"/>
      <c r="D106" s="10"/>
    </row>
    <row r="107" spans="1:4" ht="15.6" x14ac:dyDescent="0.3">
      <c r="A107" s="10"/>
      <c r="B107" s="10"/>
      <c r="C107" s="10"/>
      <c r="D107" s="10"/>
    </row>
    <row r="108" spans="1:4" ht="15.6" x14ac:dyDescent="0.3">
      <c r="A108" s="10"/>
      <c r="B108" s="10"/>
      <c r="C108" s="10"/>
      <c r="D108" s="10"/>
    </row>
    <row r="109" spans="1:4" ht="15.6" x14ac:dyDescent="0.3">
      <c r="A109" s="10"/>
      <c r="B109" s="10"/>
      <c r="C109" s="10"/>
      <c r="D109" s="10"/>
    </row>
    <row r="110" spans="1:4" ht="15.6" x14ac:dyDescent="0.3">
      <c r="A110" s="10"/>
      <c r="B110" s="10"/>
      <c r="C110" s="10"/>
      <c r="D110" s="10"/>
    </row>
    <row r="111" spans="1:4" ht="15.6" x14ac:dyDescent="0.3">
      <c r="A111" s="10"/>
      <c r="B111" s="10"/>
      <c r="C111" s="10"/>
      <c r="D111" s="10"/>
    </row>
    <row r="112" spans="1:4" ht="15.6" x14ac:dyDescent="0.3">
      <c r="A112" s="10"/>
      <c r="B112" s="10"/>
      <c r="C112" s="10"/>
      <c r="D112" s="10"/>
    </row>
    <row r="113" spans="1:4" ht="15.6" x14ac:dyDescent="0.3">
      <c r="A113" s="10"/>
      <c r="B113" s="10"/>
      <c r="C113" s="10"/>
      <c r="D113" s="10"/>
    </row>
    <row r="114" spans="1:4" ht="15.6" x14ac:dyDescent="0.3">
      <c r="A114" s="10"/>
      <c r="B114" s="10"/>
      <c r="C114" s="10"/>
      <c r="D114" s="10"/>
    </row>
    <row r="115" spans="1:4" ht="15.6" x14ac:dyDescent="0.3">
      <c r="A115" s="10"/>
      <c r="B115" s="10"/>
      <c r="C115" s="10"/>
      <c r="D115" s="10"/>
    </row>
    <row r="116" spans="1:4" ht="15.6" x14ac:dyDescent="0.3">
      <c r="A116" s="10"/>
      <c r="B116" s="10"/>
      <c r="C116" s="10"/>
      <c r="D116" s="10"/>
    </row>
    <row r="117" spans="1:4" ht="15.6" x14ac:dyDescent="0.3">
      <c r="A117" s="10"/>
      <c r="B117" s="10"/>
      <c r="C117" s="10"/>
      <c r="D117" s="10"/>
    </row>
    <row r="118" spans="1:4" ht="15.6" x14ac:dyDescent="0.3">
      <c r="A118" s="10"/>
      <c r="B118" s="10"/>
      <c r="C118" s="10"/>
      <c r="D118" s="10"/>
    </row>
    <row r="119" spans="1:4" ht="15.6" x14ac:dyDescent="0.3">
      <c r="A119" s="10"/>
      <c r="B119" s="10"/>
      <c r="C119" s="10"/>
      <c r="D119" s="10"/>
    </row>
    <row r="120" spans="1:4" ht="15.6" x14ac:dyDescent="0.3">
      <c r="A120" s="10"/>
      <c r="B120" s="10"/>
      <c r="C120" s="10"/>
      <c r="D120" s="10"/>
    </row>
    <row r="121" spans="1:4" ht="15.6" x14ac:dyDescent="0.3">
      <c r="A121" s="10"/>
      <c r="B121" s="10"/>
      <c r="C121" s="10"/>
      <c r="D121" s="10"/>
    </row>
    <row r="122" spans="1:4" ht="15.6" x14ac:dyDescent="0.3">
      <c r="A122" s="10"/>
      <c r="B122" s="10"/>
      <c r="C122" s="10"/>
      <c r="D122" s="10"/>
    </row>
    <row r="123" spans="1:4" ht="15.6" x14ac:dyDescent="0.3">
      <c r="A123" s="10"/>
      <c r="B123" s="10"/>
      <c r="C123" s="10"/>
      <c r="D123" s="10"/>
    </row>
    <row r="124" spans="1:4" ht="15.6" x14ac:dyDescent="0.3">
      <c r="A124" s="10"/>
      <c r="B124" s="10"/>
      <c r="C124" s="10"/>
      <c r="D124" s="10"/>
    </row>
    <row r="125" spans="1:4" ht="15.6" x14ac:dyDescent="0.3">
      <c r="A125" s="10"/>
      <c r="B125" s="10"/>
      <c r="C125" s="10"/>
      <c r="D125" s="10"/>
    </row>
    <row r="126" spans="1:4" ht="15.6" x14ac:dyDescent="0.3">
      <c r="A126" s="10"/>
      <c r="B126" s="10"/>
      <c r="C126" s="10"/>
      <c r="D126" s="10"/>
    </row>
    <row r="127" spans="1:4" ht="15.6" x14ac:dyDescent="0.3">
      <c r="A127" s="10"/>
      <c r="B127" s="10"/>
      <c r="C127" s="10"/>
      <c r="D127" s="10"/>
    </row>
    <row r="128" spans="1:4" ht="15.6" x14ac:dyDescent="0.3">
      <c r="A128" s="10"/>
      <c r="B128" s="10"/>
      <c r="C128" s="10"/>
      <c r="D128" s="10"/>
    </row>
    <row r="129" spans="1:4" ht="15.6" x14ac:dyDescent="0.3">
      <c r="A129" s="10"/>
      <c r="B129" s="10"/>
      <c r="C129" s="10"/>
      <c r="D129" s="10"/>
    </row>
    <row r="130" spans="1:4" ht="15.6" x14ac:dyDescent="0.3">
      <c r="A130" s="10"/>
      <c r="B130" s="10"/>
      <c r="C130" s="10"/>
      <c r="D130" s="10"/>
    </row>
    <row r="131" spans="1:4" ht="15.6" x14ac:dyDescent="0.3">
      <c r="A131" s="10"/>
      <c r="B131" s="10"/>
      <c r="C131" s="10"/>
      <c r="D131" s="10"/>
    </row>
    <row r="132" spans="1:4" ht="15.6" x14ac:dyDescent="0.3">
      <c r="A132" s="10"/>
      <c r="B132" s="10"/>
      <c r="C132" s="10"/>
      <c r="D132" s="10"/>
    </row>
    <row r="133" spans="1:4" ht="15.6" x14ac:dyDescent="0.3">
      <c r="A133" s="10"/>
      <c r="B133" s="10"/>
      <c r="C133" s="10"/>
      <c r="D133" s="10"/>
    </row>
    <row r="134" spans="1:4" ht="15.6" x14ac:dyDescent="0.3">
      <c r="A134" s="10"/>
      <c r="B134" s="10"/>
      <c r="C134" s="10"/>
      <c r="D134" s="10"/>
    </row>
    <row r="135" spans="1:4" ht="15.6" x14ac:dyDescent="0.3">
      <c r="A135" s="10"/>
      <c r="B135" s="10"/>
      <c r="C135" s="10"/>
      <c r="D135" s="10"/>
    </row>
    <row r="136" spans="1:4" ht="15.6" x14ac:dyDescent="0.3">
      <c r="A136" s="10"/>
      <c r="B136" s="10"/>
      <c r="C136" s="10"/>
      <c r="D136" s="10"/>
    </row>
    <row r="137" spans="1:4" ht="15.6" x14ac:dyDescent="0.3">
      <c r="A137" s="10"/>
      <c r="B137" s="10"/>
      <c r="C137" s="10"/>
      <c r="D137" s="10"/>
    </row>
    <row r="138" spans="1:4" ht="15.6" x14ac:dyDescent="0.3">
      <c r="A138" s="10"/>
      <c r="B138" s="10"/>
      <c r="C138" s="10"/>
      <c r="D138" s="10"/>
    </row>
    <row r="139" spans="1:4" ht="15.6" x14ac:dyDescent="0.3">
      <c r="A139" s="10"/>
      <c r="B139" s="10"/>
      <c r="C139" s="10"/>
      <c r="D139" s="10"/>
    </row>
    <row r="140" spans="1:4" ht="15.6" x14ac:dyDescent="0.3">
      <c r="A140" s="10"/>
      <c r="B140" s="10"/>
      <c r="C140" s="10"/>
      <c r="D140" s="10"/>
    </row>
    <row r="141" spans="1:4" ht="15.6" x14ac:dyDescent="0.3">
      <c r="A141" s="10"/>
      <c r="B141" s="10"/>
      <c r="C141" s="10"/>
      <c r="D141" s="10"/>
    </row>
    <row r="142" spans="1:4" ht="15.6" x14ac:dyDescent="0.3">
      <c r="A142" s="10"/>
      <c r="B142" s="10"/>
      <c r="C142" s="10"/>
      <c r="D142" s="10"/>
    </row>
    <row r="143" spans="1:4" ht="15.6" x14ac:dyDescent="0.3">
      <c r="A143" s="10"/>
      <c r="B143" s="10"/>
      <c r="C143" s="10"/>
      <c r="D143" s="10"/>
    </row>
    <row r="144" spans="1:4" ht="15.6" x14ac:dyDescent="0.3">
      <c r="A144" s="10"/>
      <c r="B144" s="10"/>
      <c r="C144" s="10"/>
      <c r="D144" s="10"/>
    </row>
    <row r="145" spans="1:4" ht="15.6" x14ac:dyDescent="0.3">
      <c r="A145" s="10"/>
      <c r="B145" s="10"/>
      <c r="C145" s="10"/>
      <c r="D145" s="10"/>
    </row>
    <row r="146" spans="1:4" ht="15.6" x14ac:dyDescent="0.3">
      <c r="A146" s="10"/>
      <c r="B146" s="10"/>
      <c r="C146" s="10"/>
      <c r="D146" s="10"/>
    </row>
    <row r="147" spans="1:4" ht="15.6" x14ac:dyDescent="0.3">
      <c r="A147" s="10"/>
      <c r="B147" s="10"/>
      <c r="C147" s="10"/>
      <c r="D147" s="10"/>
    </row>
    <row r="148" spans="1:4" ht="15.6" x14ac:dyDescent="0.3">
      <c r="A148" s="10"/>
      <c r="B148" s="10"/>
      <c r="C148" s="10"/>
      <c r="D148" s="10"/>
    </row>
    <row r="149" spans="1:4" ht="15.6" x14ac:dyDescent="0.3">
      <c r="A149" s="10"/>
      <c r="B149" s="10"/>
      <c r="C149" s="10"/>
      <c r="D149" s="10"/>
    </row>
    <row r="150" spans="1:4" ht="15.6" x14ac:dyDescent="0.3">
      <c r="A150" s="10"/>
      <c r="B150" s="10"/>
      <c r="C150" s="10"/>
      <c r="D150" s="10"/>
    </row>
    <row r="151" spans="1:4" ht="15.6" x14ac:dyDescent="0.3">
      <c r="A151" s="10"/>
      <c r="B151" s="10"/>
      <c r="C151" s="10"/>
      <c r="D151" s="10"/>
    </row>
    <row r="152" spans="1:4" ht="15.6" x14ac:dyDescent="0.3">
      <c r="A152" s="10"/>
      <c r="B152" s="10"/>
      <c r="C152" s="10"/>
      <c r="D152" s="10"/>
    </row>
    <row r="153" spans="1:4" ht="15.6" x14ac:dyDescent="0.3">
      <c r="A153" s="10"/>
      <c r="B153" s="10"/>
      <c r="C153" s="10"/>
      <c r="D153" s="10"/>
    </row>
    <row r="154" spans="1:4" ht="15.6" x14ac:dyDescent="0.3">
      <c r="A154" s="10"/>
      <c r="B154" s="10"/>
      <c r="C154" s="10"/>
      <c r="D154" s="10"/>
    </row>
    <row r="155" spans="1:4" ht="15.6" x14ac:dyDescent="0.3">
      <c r="A155" s="10"/>
      <c r="B155" s="10"/>
      <c r="C155" s="10"/>
      <c r="D155" s="10"/>
    </row>
    <row r="156" spans="1:4" ht="15.6" x14ac:dyDescent="0.3">
      <c r="A156" s="10"/>
      <c r="B156" s="10"/>
      <c r="C156" s="10"/>
      <c r="D156" s="10"/>
    </row>
    <row r="157" spans="1:4" ht="15.6" x14ac:dyDescent="0.3">
      <c r="A157" s="10"/>
      <c r="B157" s="10"/>
      <c r="C157" s="10"/>
      <c r="D157" s="10"/>
    </row>
    <row r="158" spans="1:4" ht="15.6" x14ac:dyDescent="0.3">
      <c r="A158" s="10"/>
      <c r="B158" s="10"/>
      <c r="C158" s="10"/>
      <c r="D158" s="10"/>
    </row>
    <row r="159" spans="1:4" ht="15.6" x14ac:dyDescent="0.3">
      <c r="A159" s="10"/>
      <c r="B159" s="10"/>
      <c r="C159" s="10"/>
      <c r="D159" s="10"/>
    </row>
    <row r="160" spans="1:4" ht="15.6" x14ac:dyDescent="0.3">
      <c r="A160" s="10"/>
      <c r="B160" s="10"/>
      <c r="C160" s="10"/>
      <c r="D160" s="10"/>
    </row>
    <row r="161" spans="1:4" ht="15.6" x14ac:dyDescent="0.3">
      <c r="A161" s="10"/>
      <c r="B161" s="10"/>
      <c r="C161" s="10"/>
      <c r="D161" s="10"/>
    </row>
    <row r="162" spans="1:4" ht="15.6" x14ac:dyDescent="0.3">
      <c r="A162" s="10"/>
      <c r="B162" s="10"/>
      <c r="C162" s="10"/>
      <c r="D162" s="10"/>
    </row>
    <row r="163" spans="1:4" ht="15.6" x14ac:dyDescent="0.3">
      <c r="A163" s="10"/>
      <c r="B163" s="10"/>
      <c r="C163" s="10"/>
      <c r="D163" s="10"/>
    </row>
    <row r="164" spans="1:4" ht="15.6" x14ac:dyDescent="0.3">
      <c r="A164" s="10"/>
      <c r="B164" s="10"/>
      <c r="C164" s="10"/>
      <c r="D164" s="10"/>
    </row>
    <row r="165" spans="1:4" ht="15.6" x14ac:dyDescent="0.3">
      <c r="A165" s="10"/>
      <c r="B165" s="10"/>
      <c r="C165" s="10"/>
      <c r="D165" s="10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0"/>
  <sheetViews>
    <sheetView topLeftCell="A76" workbookViewId="0">
      <selection activeCell="C93" sqref="C93"/>
    </sheetView>
  </sheetViews>
  <sheetFormatPr defaultRowHeight="14.4" x14ac:dyDescent="0.3"/>
  <cols>
    <col min="1" max="1" width="10.109375" customWidth="1"/>
    <col min="2" max="2" width="20.5546875" customWidth="1"/>
    <col min="3" max="3" width="14.5546875" customWidth="1"/>
    <col min="4" max="4" width="8.88671875" customWidth="1"/>
    <col min="5" max="5" width="22.6640625" customWidth="1"/>
    <col min="6" max="6" width="16.88671875" customWidth="1"/>
    <col min="7" max="7" width="38.33203125" customWidth="1"/>
    <col min="8" max="9" width="10.109375" customWidth="1"/>
    <col min="10" max="22" width="11.109375" customWidth="1"/>
  </cols>
  <sheetData>
    <row r="1" spans="1:22" x14ac:dyDescent="0.3">
      <c r="A1" t="s">
        <v>23</v>
      </c>
      <c r="B1" t="s">
        <v>24</v>
      </c>
      <c r="C1" t="s">
        <v>112</v>
      </c>
      <c r="D1" s="1" t="s">
        <v>113</v>
      </c>
      <c r="E1" s="1" t="s">
        <v>195</v>
      </c>
      <c r="F1" s="1" t="s">
        <v>196</v>
      </c>
      <c r="G1" s="1" t="s">
        <v>201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8" x14ac:dyDescent="0.35">
      <c r="A2" s="9">
        <v>1</v>
      </c>
      <c r="B2" t="s">
        <v>25</v>
      </c>
      <c r="C2" t="s">
        <v>114</v>
      </c>
      <c r="D2" s="1"/>
      <c r="E2" s="8">
        <v>6</v>
      </c>
      <c r="F2" s="5" t="s">
        <v>198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8" x14ac:dyDescent="0.35">
      <c r="A3" s="9">
        <v>2</v>
      </c>
      <c r="B3" t="s">
        <v>26</v>
      </c>
      <c r="C3" t="s">
        <v>192</v>
      </c>
      <c r="E3" s="8">
        <v>10</v>
      </c>
      <c r="F3" s="5" t="s">
        <v>198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8" x14ac:dyDescent="0.35">
      <c r="A4" s="9">
        <v>3</v>
      </c>
      <c r="B4" t="s">
        <v>27</v>
      </c>
      <c r="C4" t="s">
        <v>143</v>
      </c>
      <c r="E4" s="8">
        <v>24</v>
      </c>
      <c r="F4" s="5" t="s">
        <v>198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8" x14ac:dyDescent="0.35">
      <c r="A5" s="9">
        <v>4</v>
      </c>
      <c r="B5" t="s">
        <v>28</v>
      </c>
      <c r="C5" t="s">
        <v>138</v>
      </c>
      <c r="E5" s="8">
        <v>20</v>
      </c>
      <c r="F5" s="5" t="s">
        <v>198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8" x14ac:dyDescent="0.35">
      <c r="A6" s="9">
        <v>5</v>
      </c>
      <c r="B6" t="s">
        <v>29</v>
      </c>
      <c r="C6" t="s">
        <v>131</v>
      </c>
      <c r="E6" s="8">
        <v>3</v>
      </c>
      <c r="F6" s="5" t="s">
        <v>198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8" x14ac:dyDescent="0.35">
      <c r="A7" s="9">
        <v>6</v>
      </c>
      <c r="B7" t="s">
        <v>30</v>
      </c>
      <c r="C7" t="s">
        <v>116</v>
      </c>
      <c r="E7" s="8">
        <v>5</v>
      </c>
      <c r="F7" s="5" t="s">
        <v>198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8" x14ac:dyDescent="0.35">
      <c r="A8" s="9">
        <v>7</v>
      </c>
      <c r="B8" t="s">
        <v>31</v>
      </c>
      <c r="C8" t="s">
        <v>192</v>
      </c>
      <c r="E8" s="8">
        <v>18</v>
      </c>
      <c r="F8" s="5" t="s">
        <v>198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8" x14ac:dyDescent="0.35">
      <c r="A9" s="9">
        <v>8</v>
      </c>
      <c r="B9" t="s">
        <v>32</v>
      </c>
      <c r="C9" t="s">
        <v>160</v>
      </c>
      <c r="E9" s="8">
        <v>16</v>
      </c>
      <c r="F9" s="5" t="s">
        <v>198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8" x14ac:dyDescent="0.35">
      <c r="A10" s="9">
        <v>9</v>
      </c>
      <c r="B10" t="s">
        <v>33</v>
      </c>
      <c r="C10" t="s">
        <v>139</v>
      </c>
      <c r="E10" s="8">
        <v>21</v>
      </c>
      <c r="F10" s="5" t="s">
        <v>198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8" x14ac:dyDescent="0.35">
      <c r="A11" s="9">
        <v>10</v>
      </c>
      <c r="B11" t="s">
        <v>34</v>
      </c>
      <c r="C11" t="s">
        <v>141</v>
      </c>
      <c r="E11" s="8">
        <v>2</v>
      </c>
      <c r="F11" s="5" t="s">
        <v>198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8" x14ac:dyDescent="0.35">
      <c r="A12" s="9">
        <v>11</v>
      </c>
      <c r="B12" t="s">
        <v>35</v>
      </c>
      <c r="C12" t="s">
        <v>153</v>
      </c>
      <c r="E12" s="8">
        <v>25</v>
      </c>
      <c r="F12" s="5" t="s">
        <v>198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8" x14ac:dyDescent="0.35">
      <c r="A13" s="9">
        <v>12</v>
      </c>
      <c r="B13" t="s">
        <v>36</v>
      </c>
      <c r="C13" t="s">
        <v>161</v>
      </c>
      <c r="E13" s="8">
        <v>7</v>
      </c>
      <c r="F13" s="5" t="s">
        <v>198</v>
      </c>
      <c r="G13" s="1" t="s">
        <v>202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8" x14ac:dyDescent="0.35">
      <c r="A14" s="9">
        <v>13</v>
      </c>
      <c r="B14" t="s">
        <v>37</v>
      </c>
      <c r="C14" t="s">
        <v>184</v>
      </c>
      <c r="E14" s="8">
        <v>15</v>
      </c>
      <c r="F14" s="5" t="s">
        <v>198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8" x14ac:dyDescent="0.35">
      <c r="A15" s="9">
        <v>14</v>
      </c>
      <c r="B15" t="s">
        <v>38</v>
      </c>
      <c r="C15" t="s">
        <v>133</v>
      </c>
      <c r="E15" s="8">
        <v>8</v>
      </c>
      <c r="F15" s="6" t="s">
        <v>200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8" x14ac:dyDescent="0.35">
      <c r="A16" s="9">
        <v>15</v>
      </c>
      <c r="B16" t="s">
        <v>39</v>
      </c>
      <c r="C16" t="s">
        <v>186</v>
      </c>
      <c r="E16" s="8">
        <v>10</v>
      </c>
      <c r="F16" s="5" t="s">
        <v>198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8" x14ac:dyDescent="0.35">
      <c r="A17" s="9">
        <v>16</v>
      </c>
      <c r="B17" t="s">
        <v>40</v>
      </c>
      <c r="C17" t="s">
        <v>156</v>
      </c>
      <c r="E17" s="8">
        <v>7</v>
      </c>
      <c r="F17" s="5" t="s">
        <v>198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8" x14ac:dyDescent="0.35">
      <c r="A18" s="9">
        <v>17</v>
      </c>
      <c r="B18" t="s">
        <v>41</v>
      </c>
      <c r="C18" t="s">
        <v>157</v>
      </c>
      <c r="E18" s="8">
        <v>5</v>
      </c>
      <c r="F18" s="5" t="s">
        <v>198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8" x14ac:dyDescent="0.35">
      <c r="A19" s="9">
        <v>18</v>
      </c>
      <c r="B19" t="s">
        <v>42</v>
      </c>
      <c r="C19" t="s">
        <v>131</v>
      </c>
      <c r="E19" s="8" t="s">
        <v>216</v>
      </c>
      <c r="F19" s="7" t="s">
        <v>199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8" x14ac:dyDescent="0.35">
      <c r="A20" s="9">
        <v>19</v>
      </c>
      <c r="B20" t="s">
        <v>43</v>
      </c>
      <c r="C20" t="s">
        <v>137</v>
      </c>
      <c r="E20" s="8">
        <v>20</v>
      </c>
      <c r="F20" s="5" t="s">
        <v>198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8" x14ac:dyDescent="0.35">
      <c r="A21" s="9">
        <v>20</v>
      </c>
      <c r="B21" t="s">
        <v>44</v>
      </c>
      <c r="C21" t="s">
        <v>142</v>
      </c>
      <c r="E21" s="8">
        <v>3</v>
      </c>
      <c r="F21" s="5" t="s">
        <v>198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8" x14ac:dyDescent="0.35">
      <c r="A22" s="9">
        <v>21</v>
      </c>
      <c r="B22" t="s">
        <v>45</v>
      </c>
      <c r="C22" t="s">
        <v>174</v>
      </c>
      <c r="E22" s="8">
        <v>14</v>
      </c>
      <c r="F22" s="5" t="s">
        <v>198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8" x14ac:dyDescent="0.35">
      <c r="A23" s="9">
        <v>22</v>
      </c>
      <c r="B23" t="s">
        <v>46</v>
      </c>
      <c r="C23" t="s">
        <v>207</v>
      </c>
      <c r="E23" s="8">
        <v>8</v>
      </c>
      <c r="F23" s="6" t="s">
        <v>200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8" x14ac:dyDescent="0.35">
      <c r="A24" s="9">
        <v>23</v>
      </c>
      <c r="B24" t="s">
        <v>47</v>
      </c>
      <c r="C24" t="s">
        <v>142</v>
      </c>
      <c r="E24" s="8">
        <v>19</v>
      </c>
      <c r="F24" s="5" t="s">
        <v>198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8" x14ac:dyDescent="0.35">
      <c r="A25" s="9">
        <v>24</v>
      </c>
      <c r="B25" t="s">
        <v>48</v>
      </c>
      <c r="C25" t="s">
        <v>166</v>
      </c>
      <c r="E25" s="8">
        <v>6</v>
      </c>
      <c r="F25" s="6" t="s">
        <v>200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8" x14ac:dyDescent="0.35">
      <c r="A26" s="9">
        <v>25</v>
      </c>
      <c r="B26" t="s">
        <v>49</v>
      </c>
      <c r="C26" t="s">
        <v>157</v>
      </c>
      <c r="E26" s="8">
        <v>11</v>
      </c>
      <c r="F26" s="6" t="s">
        <v>200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8" x14ac:dyDescent="0.35">
      <c r="A27" s="9">
        <v>26</v>
      </c>
      <c r="B27" t="s">
        <v>50</v>
      </c>
      <c r="C27" t="s">
        <v>186</v>
      </c>
      <c r="E27" s="8" t="s">
        <v>214</v>
      </c>
      <c r="F27" s="7" t="s">
        <v>199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8" x14ac:dyDescent="0.35">
      <c r="A28" s="9">
        <v>27</v>
      </c>
      <c r="B28" t="s">
        <v>51</v>
      </c>
      <c r="C28" t="s">
        <v>129</v>
      </c>
      <c r="E28" s="8" t="s">
        <v>215</v>
      </c>
      <c r="F28" s="7" t="s">
        <v>199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8" x14ac:dyDescent="0.35">
      <c r="A29" s="9">
        <v>28</v>
      </c>
      <c r="B29" t="s">
        <v>52</v>
      </c>
      <c r="C29" t="s">
        <v>161</v>
      </c>
      <c r="E29" s="8">
        <v>10</v>
      </c>
      <c r="F29" s="5" t="s">
        <v>198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8" x14ac:dyDescent="0.35">
      <c r="A30" s="9">
        <v>29</v>
      </c>
      <c r="B30" t="s">
        <v>53</v>
      </c>
      <c r="C30" t="s">
        <v>125</v>
      </c>
      <c r="E30" s="8">
        <v>18</v>
      </c>
      <c r="F30" s="5" t="s">
        <v>198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8" x14ac:dyDescent="0.35">
      <c r="A31" s="9">
        <v>30</v>
      </c>
      <c r="B31" t="s">
        <v>54</v>
      </c>
      <c r="C31" t="s">
        <v>164</v>
      </c>
      <c r="E31" s="8">
        <v>13</v>
      </c>
      <c r="F31" s="5" t="s">
        <v>198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8" x14ac:dyDescent="0.35">
      <c r="A32" s="9">
        <v>31</v>
      </c>
      <c r="B32" t="s">
        <v>55</v>
      </c>
      <c r="E32" s="8"/>
      <c r="F32" s="5" t="s">
        <v>198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8" x14ac:dyDescent="0.35">
      <c r="A33" s="9">
        <v>32</v>
      </c>
      <c r="B33" t="s">
        <v>56</v>
      </c>
      <c r="E33" s="8"/>
      <c r="F33" s="5" t="s">
        <v>198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8" x14ac:dyDescent="0.35">
      <c r="A34" s="9">
        <v>33</v>
      </c>
      <c r="B34" t="s">
        <v>57</v>
      </c>
      <c r="E34" s="8"/>
      <c r="F34" s="6" t="s">
        <v>200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8" x14ac:dyDescent="0.35">
      <c r="A35" s="9">
        <v>34</v>
      </c>
      <c r="B35" t="s">
        <v>58</v>
      </c>
      <c r="E35" s="8"/>
      <c r="F35" s="5" t="s">
        <v>198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8" x14ac:dyDescent="0.35">
      <c r="A36" s="9">
        <v>35</v>
      </c>
      <c r="B36" t="s">
        <v>59</v>
      </c>
      <c r="E36" s="8"/>
      <c r="F36" s="7" t="s">
        <v>199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8" x14ac:dyDescent="0.35">
      <c r="A37" s="9">
        <v>36</v>
      </c>
      <c r="B37" t="s">
        <v>60</v>
      </c>
      <c r="E37" s="8"/>
      <c r="F37" s="7" t="s">
        <v>199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8" x14ac:dyDescent="0.35">
      <c r="A38" s="9">
        <v>37</v>
      </c>
      <c r="B38" t="s">
        <v>61</v>
      </c>
      <c r="E38" s="8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8" x14ac:dyDescent="0.35">
      <c r="A39" s="9">
        <v>38</v>
      </c>
      <c r="B39" t="s">
        <v>62</v>
      </c>
      <c r="E39" s="8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8" x14ac:dyDescent="0.35">
      <c r="A40" s="9">
        <v>39</v>
      </c>
      <c r="B40" t="s">
        <v>63</v>
      </c>
      <c r="E40" s="8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8" x14ac:dyDescent="0.35">
      <c r="A41" s="9">
        <v>40</v>
      </c>
      <c r="B41" t="s">
        <v>64</v>
      </c>
      <c r="E41" s="8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8" x14ac:dyDescent="0.35">
      <c r="A42" s="9">
        <v>41</v>
      </c>
      <c r="B42" t="s">
        <v>65</v>
      </c>
      <c r="E42" s="8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8" x14ac:dyDescent="0.35">
      <c r="A43" s="9">
        <v>42</v>
      </c>
      <c r="B43" t="s">
        <v>66</v>
      </c>
      <c r="E43" s="8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8" x14ac:dyDescent="0.35">
      <c r="A44" s="9">
        <v>43</v>
      </c>
      <c r="B44" t="s">
        <v>67</v>
      </c>
      <c r="E44" s="8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8" x14ac:dyDescent="0.35">
      <c r="A45" s="9">
        <v>44</v>
      </c>
      <c r="B45" t="s">
        <v>68</v>
      </c>
      <c r="E45" s="8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8" x14ac:dyDescent="0.35">
      <c r="A46" s="9">
        <v>45</v>
      </c>
      <c r="B46" t="s">
        <v>69</v>
      </c>
      <c r="E46" s="8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8" x14ac:dyDescent="0.35">
      <c r="A47" s="9">
        <v>46</v>
      </c>
      <c r="B47" t="s">
        <v>70</v>
      </c>
      <c r="E47" s="8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8" x14ac:dyDescent="0.35">
      <c r="A48" s="9">
        <v>47</v>
      </c>
      <c r="B48" t="s">
        <v>71</v>
      </c>
      <c r="E48" s="8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8" x14ac:dyDescent="0.35">
      <c r="A49" s="9">
        <v>48</v>
      </c>
      <c r="B49" t="s">
        <v>72</v>
      </c>
      <c r="E49" s="8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8" x14ac:dyDescent="0.35">
      <c r="A50" s="9">
        <v>49</v>
      </c>
      <c r="B50" t="s">
        <v>73</v>
      </c>
      <c r="E50" s="8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8" x14ac:dyDescent="0.35">
      <c r="A51" s="9">
        <v>50</v>
      </c>
      <c r="B51" t="s">
        <v>74</v>
      </c>
      <c r="E51" s="8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8" x14ac:dyDescent="0.35">
      <c r="A52" s="9">
        <v>51</v>
      </c>
      <c r="B52" t="s">
        <v>75</v>
      </c>
      <c r="E52" s="8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8" x14ac:dyDescent="0.35">
      <c r="A53" s="9">
        <v>52</v>
      </c>
      <c r="B53" t="s">
        <v>76</v>
      </c>
      <c r="E53" s="8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8" x14ac:dyDescent="0.35">
      <c r="A54" s="9">
        <v>53</v>
      </c>
      <c r="B54" t="s">
        <v>77</v>
      </c>
      <c r="E54" s="8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8" x14ac:dyDescent="0.35">
      <c r="A55" s="9">
        <v>54</v>
      </c>
      <c r="B55" t="s">
        <v>78</v>
      </c>
      <c r="E55" s="4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8" x14ac:dyDescent="0.35">
      <c r="A56" s="9">
        <v>55</v>
      </c>
      <c r="B56" t="s">
        <v>79</v>
      </c>
      <c r="E56" s="4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8" x14ac:dyDescent="0.35">
      <c r="A57" s="9">
        <v>56</v>
      </c>
      <c r="B57" t="s">
        <v>80</v>
      </c>
      <c r="E57" s="4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8" x14ac:dyDescent="0.35">
      <c r="A58" s="9">
        <v>57</v>
      </c>
      <c r="B58" t="s">
        <v>81</v>
      </c>
      <c r="E58" s="4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8" x14ac:dyDescent="0.35">
      <c r="A59" s="9">
        <v>58</v>
      </c>
      <c r="B59" t="s">
        <v>82</v>
      </c>
      <c r="E59" s="4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8" x14ac:dyDescent="0.35">
      <c r="A60" s="9">
        <v>59</v>
      </c>
      <c r="B60" t="s">
        <v>83</v>
      </c>
      <c r="E60" s="4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8" x14ac:dyDescent="0.35">
      <c r="A61" s="9">
        <v>60</v>
      </c>
      <c r="B61" t="s">
        <v>84</v>
      </c>
      <c r="E61" s="4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8" x14ac:dyDescent="0.35">
      <c r="A62" s="9">
        <v>61</v>
      </c>
      <c r="B62" t="s">
        <v>85</v>
      </c>
      <c r="E62" s="4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8" x14ac:dyDescent="0.35">
      <c r="A63" s="9">
        <v>62</v>
      </c>
      <c r="B63" t="s">
        <v>86</v>
      </c>
      <c r="E63" s="4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8" x14ac:dyDescent="0.35">
      <c r="A64" s="9">
        <v>63</v>
      </c>
      <c r="B64" t="s">
        <v>87</v>
      </c>
      <c r="E64" s="4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8" x14ac:dyDescent="0.35">
      <c r="A65" s="9">
        <v>64</v>
      </c>
      <c r="B65" t="s">
        <v>88</v>
      </c>
      <c r="E65" s="4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8" x14ac:dyDescent="0.35">
      <c r="A66" s="9">
        <v>65</v>
      </c>
      <c r="B66" t="s">
        <v>89</v>
      </c>
      <c r="E66" s="4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8" x14ac:dyDescent="0.35">
      <c r="A67" s="9">
        <v>66</v>
      </c>
      <c r="B67" t="s">
        <v>90</v>
      </c>
      <c r="E67" s="4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8" x14ac:dyDescent="0.35">
      <c r="A68" s="9">
        <v>67</v>
      </c>
      <c r="B68" t="s">
        <v>91</v>
      </c>
      <c r="E68" s="4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8" x14ac:dyDescent="0.35">
      <c r="A69" s="9">
        <v>68</v>
      </c>
      <c r="B69" t="s">
        <v>92</v>
      </c>
      <c r="E69" s="4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x14ac:dyDescent="0.3">
      <c r="A70" s="9">
        <v>69</v>
      </c>
      <c r="B70" t="s">
        <v>93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x14ac:dyDescent="0.3">
      <c r="A71" s="9">
        <v>70</v>
      </c>
      <c r="B71" t="s">
        <v>94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3">
      <c r="A72" s="9">
        <v>71</v>
      </c>
      <c r="B72" t="s">
        <v>95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x14ac:dyDescent="0.3">
      <c r="A73" s="9">
        <v>72</v>
      </c>
      <c r="B73" t="s">
        <v>96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x14ac:dyDescent="0.3">
      <c r="A74" s="9">
        <v>73</v>
      </c>
      <c r="B74" t="s">
        <v>97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x14ac:dyDescent="0.3">
      <c r="A75" s="9">
        <v>74</v>
      </c>
      <c r="B75" t="s">
        <v>98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x14ac:dyDescent="0.3">
      <c r="A76" s="9">
        <v>75</v>
      </c>
      <c r="B76" t="s">
        <v>99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3">
      <c r="A77" s="9">
        <v>76</v>
      </c>
      <c r="B77" t="s">
        <v>100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x14ac:dyDescent="0.3">
      <c r="A78" s="9">
        <v>77</v>
      </c>
      <c r="B78" t="s">
        <v>101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x14ac:dyDescent="0.3">
      <c r="A79" s="9">
        <v>78</v>
      </c>
      <c r="B79" t="s">
        <v>102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x14ac:dyDescent="0.3">
      <c r="A80" s="9">
        <v>79</v>
      </c>
      <c r="B80" t="s">
        <v>103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x14ac:dyDescent="0.3">
      <c r="A81" s="9">
        <v>80</v>
      </c>
      <c r="B81" t="s">
        <v>104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x14ac:dyDescent="0.3">
      <c r="A82" s="9">
        <v>81</v>
      </c>
      <c r="B82" t="s">
        <v>105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3">
      <c r="A83" s="9">
        <v>82</v>
      </c>
      <c r="B83" t="s">
        <v>106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x14ac:dyDescent="0.3">
      <c r="A84" s="9">
        <v>83</v>
      </c>
      <c r="B84" t="s">
        <v>107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3">
      <c r="A85" s="9">
        <v>84</v>
      </c>
      <c r="B85" t="s">
        <v>108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x14ac:dyDescent="0.3">
      <c r="A86" s="9">
        <v>85</v>
      </c>
      <c r="B86" t="s">
        <v>109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x14ac:dyDescent="0.3">
      <c r="A87" s="9">
        <v>86</v>
      </c>
      <c r="B87" t="s">
        <v>110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x14ac:dyDescent="0.3">
      <c r="A88" s="9">
        <v>87</v>
      </c>
      <c r="B88" t="s">
        <v>111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8" x14ac:dyDescent="0.35">
      <c r="A89" s="9" t="s">
        <v>209</v>
      </c>
      <c r="B89" t="s">
        <v>208</v>
      </c>
      <c r="C89" t="s">
        <v>142</v>
      </c>
      <c r="E89" s="8">
        <v>18</v>
      </c>
      <c r="F89" s="5" t="s">
        <v>198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6" x14ac:dyDescent="0.3">
      <c r="A90" s="9" t="s">
        <v>210</v>
      </c>
      <c r="B90" t="s">
        <v>211</v>
      </c>
      <c r="F90" s="5" t="s">
        <v>198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6" x14ac:dyDescent="0.3">
      <c r="A91" t="s">
        <v>213</v>
      </c>
      <c r="B91" t="s">
        <v>212</v>
      </c>
      <c r="F91" s="5" t="s">
        <v>198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x14ac:dyDescent="0.3">
      <c r="A92" t="s">
        <v>219</v>
      </c>
      <c r="B92" t="s">
        <v>220</v>
      </c>
      <c r="C92" t="s">
        <v>156</v>
      </c>
      <c r="E92">
        <v>5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x14ac:dyDescent="0.3"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x14ac:dyDescent="0.3"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x14ac:dyDescent="0.3"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x14ac:dyDescent="0.3"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6:22" x14ac:dyDescent="0.3"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6:22" x14ac:dyDescent="0.3"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6:22" x14ac:dyDescent="0.3"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6:22" x14ac:dyDescent="0.3"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6:22" x14ac:dyDescent="0.3"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6:22" x14ac:dyDescent="0.3"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6:22" x14ac:dyDescent="0.3"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6:22" x14ac:dyDescent="0.3"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6:22" x14ac:dyDescent="0.3"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6:22" x14ac:dyDescent="0.3"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6:22" x14ac:dyDescent="0.3"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6:22" x14ac:dyDescent="0.3"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6:22" x14ac:dyDescent="0.3"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6:22" x14ac:dyDescent="0.3"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6:22" x14ac:dyDescent="0.3"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6:22" x14ac:dyDescent="0.3"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6:22" x14ac:dyDescent="0.3"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6:22" x14ac:dyDescent="0.3"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6:22" x14ac:dyDescent="0.3"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6:22" x14ac:dyDescent="0.3"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6:22" x14ac:dyDescent="0.3"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6:22" x14ac:dyDescent="0.3"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6:22" x14ac:dyDescent="0.3"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6:22" x14ac:dyDescent="0.3"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6:22" x14ac:dyDescent="0.3"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6:22" x14ac:dyDescent="0.3"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6:22" x14ac:dyDescent="0.3"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6:22" x14ac:dyDescent="0.3"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6:22" x14ac:dyDescent="0.3"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6:22" x14ac:dyDescent="0.3"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6:22" x14ac:dyDescent="0.3"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6:22" x14ac:dyDescent="0.3"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x14ac:dyDescent="0.3"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x14ac:dyDescent="0.3"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x14ac:dyDescent="0.3"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x14ac:dyDescent="0.3"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x14ac:dyDescent="0.3"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x14ac:dyDescent="0.3"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x14ac:dyDescent="0.3"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29" sqref="F29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0"/>
  <sheetViews>
    <sheetView topLeftCell="A58" workbookViewId="0">
      <selection activeCell="B65" sqref="B65"/>
    </sheetView>
  </sheetViews>
  <sheetFormatPr defaultRowHeight="14.4" x14ac:dyDescent="0.3"/>
  <cols>
    <col min="1" max="1" width="10.109375" customWidth="1"/>
    <col min="2" max="2" width="26.109375" customWidth="1"/>
    <col min="3" max="9" width="10.109375" customWidth="1"/>
    <col min="10" max="18" width="11.109375" customWidth="1"/>
  </cols>
  <sheetData>
    <row r="1" spans="1:18" x14ac:dyDescent="0.3">
      <c r="A1" t="s">
        <v>191</v>
      </c>
      <c r="B1" t="s">
        <v>194</v>
      </c>
      <c r="C1" t="s">
        <v>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114</v>
      </c>
    </row>
    <row r="3" spans="1:18" x14ac:dyDescent="0.3">
      <c r="A3">
        <v>2</v>
      </c>
      <c r="B3" t="s">
        <v>115</v>
      </c>
    </row>
    <row r="4" spans="1:18" x14ac:dyDescent="0.3">
      <c r="A4">
        <v>3</v>
      </c>
      <c r="B4" t="s">
        <v>116</v>
      </c>
    </row>
    <row r="5" spans="1:18" x14ac:dyDescent="0.3">
      <c r="A5">
        <v>4</v>
      </c>
      <c r="B5" t="s">
        <v>117</v>
      </c>
    </row>
    <row r="6" spans="1:18" x14ac:dyDescent="0.3">
      <c r="A6">
        <v>5</v>
      </c>
      <c r="B6" t="s">
        <v>118</v>
      </c>
    </row>
    <row r="7" spans="1:18" x14ac:dyDescent="0.3">
      <c r="A7">
        <v>6</v>
      </c>
      <c r="B7" t="s">
        <v>119</v>
      </c>
    </row>
    <row r="8" spans="1:18" x14ac:dyDescent="0.3">
      <c r="A8">
        <v>7</v>
      </c>
      <c r="B8" t="s">
        <v>120</v>
      </c>
    </row>
    <row r="9" spans="1:18" x14ac:dyDescent="0.3">
      <c r="A9">
        <v>8</v>
      </c>
      <c r="B9" t="s">
        <v>166</v>
      </c>
    </row>
    <row r="10" spans="1:18" x14ac:dyDescent="0.3">
      <c r="A10">
        <v>9</v>
      </c>
      <c r="B10" t="s">
        <v>121</v>
      </c>
    </row>
    <row r="11" spans="1:18" x14ac:dyDescent="0.3">
      <c r="A11">
        <v>10</v>
      </c>
      <c r="B11" t="s">
        <v>122</v>
      </c>
    </row>
    <row r="12" spans="1:18" x14ac:dyDescent="0.3">
      <c r="A12">
        <v>11</v>
      </c>
      <c r="B12" t="s">
        <v>167</v>
      </c>
    </row>
    <row r="13" spans="1:18" x14ac:dyDescent="0.3">
      <c r="A13">
        <v>12</v>
      </c>
      <c r="B13" t="s">
        <v>168</v>
      </c>
    </row>
    <row r="14" spans="1:18" x14ac:dyDescent="0.3">
      <c r="A14">
        <v>13</v>
      </c>
      <c r="B14" t="s">
        <v>123</v>
      </c>
    </row>
    <row r="15" spans="1:18" x14ac:dyDescent="0.3">
      <c r="A15">
        <v>14</v>
      </c>
      <c r="B15" t="s">
        <v>169</v>
      </c>
    </row>
    <row r="16" spans="1:18" x14ac:dyDescent="0.3">
      <c r="A16">
        <v>15</v>
      </c>
      <c r="B16" t="s">
        <v>170</v>
      </c>
    </row>
    <row r="17" spans="1:2" x14ac:dyDescent="0.3">
      <c r="A17">
        <v>16</v>
      </c>
      <c r="B17" t="s">
        <v>124</v>
      </c>
    </row>
    <row r="18" spans="1:2" x14ac:dyDescent="0.3">
      <c r="A18">
        <v>17</v>
      </c>
      <c r="B18" t="s">
        <v>125</v>
      </c>
    </row>
    <row r="19" spans="1:2" x14ac:dyDescent="0.3">
      <c r="A19">
        <v>18</v>
      </c>
      <c r="B19" t="s">
        <v>171</v>
      </c>
    </row>
    <row r="20" spans="1:2" x14ac:dyDescent="0.3">
      <c r="A20">
        <v>19</v>
      </c>
      <c r="B20" t="s">
        <v>126</v>
      </c>
    </row>
    <row r="21" spans="1:2" x14ac:dyDescent="0.3">
      <c r="A21">
        <v>20</v>
      </c>
      <c r="B21" t="s">
        <v>127</v>
      </c>
    </row>
    <row r="22" spans="1:2" x14ac:dyDescent="0.3">
      <c r="A22">
        <v>21</v>
      </c>
      <c r="B22" t="s">
        <v>128</v>
      </c>
    </row>
    <row r="23" spans="1:2" x14ac:dyDescent="0.3">
      <c r="A23">
        <v>22</v>
      </c>
      <c r="B23" t="s">
        <v>172</v>
      </c>
    </row>
    <row r="24" spans="1:2" x14ac:dyDescent="0.3">
      <c r="A24">
        <v>23</v>
      </c>
      <c r="B24" t="s">
        <v>129</v>
      </c>
    </row>
    <row r="25" spans="1:2" x14ac:dyDescent="0.3">
      <c r="A25">
        <v>24</v>
      </c>
      <c r="B25" t="s">
        <v>130</v>
      </c>
    </row>
    <row r="26" spans="1:2" x14ac:dyDescent="0.3">
      <c r="A26">
        <v>25</v>
      </c>
      <c r="B26" t="s">
        <v>131</v>
      </c>
    </row>
    <row r="27" spans="1:2" x14ac:dyDescent="0.3">
      <c r="A27">
        <v>26</v>
      </c>
      <c r="B27" t="s">
        <v>132</v>
      </c>
    </row>
    <row r="28" spans="1:2" x14ac:dyDescent="0.3">
      <c r="A28">
        <v>27</v>
      </c>
      <c r="B28" t="s">
        <v>133</v>
      </c>
    </row>
    <row r="29" spans="1:2" x14ac:dyDescent="0.3">
      <c r="A29">
        <v>28</v>
      </c>
      <c r="B29" t="s">
        <v>134</v>
      </c>
    </row>
    <row r="30" spans="1:2" x14ac:dyDescent="0.3">
      <c r="A30">
        <v>29</v>
      </c>
      <c r="B30" t="s">
        <v>135</v>
      </c>
    </row>
    <row r="31" spans="1:2" x14ac:dyDescent="0.3">
      <c r="A31">
        <v>30</v>
      </c>
      <c r="B31" t="s">
        <v>136</v>
      </c>
    </row>
    <row r="32" spans="1:2" x14ac:dyDescent="0.3">
      <c r="A32">
        <v>31</v>
      </c>
      <c r="B32" t="s">
        <v>137</v>
      </c>
    </row>
    <row r="33" spans="1:2" x14ac:dyDescent="0.3">
      <c r="A33">
        <v>32</v>
      </c>
      <c r="B33" t="s">
        <v>138</v>
      </c>
    </row>
    <row r="34" spans="1:2" x14ac:dyDescent="0.3">
      <c r="A34">
        <v>33</v>
      </c>
      <c r="B34" t="s">
        <v>193</v>
      </c>
    </row>
    <row r="35" spans="1:2" x14ac:dyDescent="0.3">
      <c r="A35">
        <v>34</v>
      </c>
      <c r="B35" t="s">
        <v>139</v>
      </c>
    </row>
    <row r="36" spans="1:2" x14ac:dyDescent="0.3">
      <c r="A36">
        <v>35</v>
      </c>
      <c r="B36" t="s">
        <v>140</v>
      </c>
    </row>
    <row r="37" spans="1:2" x14ac:dyDescent="0.3">
      <c r="A37">
        <v>36</v>
      </c>
      <c r="B37" t="s">
        <v>141</v>
      </c>
    </row>
    <row r="38" spans="1:2" x14ac:dyDescent="0.3">
      <c r="A38">
        <v>37</v>
      </c>
      <c r="B38" t="s">
        <v>176</v>
      </c>
    </row>
    <row r="39" spans="1:2" x14ac:dyDescent="0.3">
      <c r="A39">
        <v>38</v>
      </c>
      <c r="B39" t="s">
        <v>173</v>
      </c>
    </row>
    <row r="40" spans="1:2" x14ac:dyDescent="0.3">
      <c r="A40">
        <v>39</v>
      </c>
      <c r="B40" t="s">
        <v>174</v>
      </c>
    </row>
    <row r="41" spans="1:2" x14ac:dyDescent="0.3">
      <c r="A41">
        <v>40</v>
      </c>
      <c r="B41" t="s">
        <v>142</v>
      </c>
    </row>
    <row r="42" spans="1:2" x14ac:dyDescent="0.3">
      <c r="A42">
        <v>41</v>
      </c>
      <c r="B42" t="s">
        <v>178</v>
      </c>
    </row>
    <row r="43" spans="1:2" x14ac:dyDescent="0.3">
      <c r="A43">
        <v>42</v>
      </c>
      <c r="B43" t="s">
        <v>143</v>
      </c>
    </row>
    <row r="44" spans="1:2" x14ac:dyDescent="0.3">
      <c r="A44">
        <v>43</v>
      </c>
      <c r="B44" t="s">
        <v>175</v>
      </c>
    </row>
    <row r="45" spans="1:2" x14ac:dyDescent="0.3">
      <c r="A45">
        <v>44</v>
      </c>
      <c r="B45" t="s">
        <v>177</v>
      </c>
    </row>
    <row r="46" spans="1:2" x14ac:dyDescent="0.3">
      <c r="A46">
        <v>45</v>
      </c>
      <c r="B46" t="s">
        <v>179</v>
      </c>
    </row>
    <row r="47" spans="1:2" x14ac:dyDescent="0.3">
      <c r="A47">
        <v>46</v>
      </c>
      <c r="B47" t="s">
        <v>144</v>
      </c>
    </row>
    <row r="48" spans="1:2" x14ac:dyDescent="0.3">
      <c r="A48">
        <v>47</v>
      </c>
      <c r="B48" t="s">
        <v>180</v>
      </c>
    </row>
    <row r="49" spans="1:2" x14ac:dyDescent="0.3">
      <c r="A49">
        <v>48</v>
      </c>
      <c r="B49" t="s">
        <v>145</v>
      </c>
    </row>
    <row r="50" spans="1:2" x14ac:dyDescent="0.3">
      <c r="A50">
        <v>49</v>
      </c>
      <c r="B50" t="s">
        <v>146</v>
      </c>
    </row>
    <row r="51" spans="1:2" x14ac:dyDescent="0.3">
      <c r="A51">
        <v>50</v>
      </c>
      <c r="B51" t="s">
        <v>147</v>
      </c>
    </row>
    <row r="52" spans="1:2" x14ac:dyDescent="0.3">
      <c r="A52">
        <v>51</v>
      </c>
      <c r="B52" t="s">
        <v>148</v>
      </c>
    </row>
    <row r="53" spans="1:2" x14ac:dyDescent="0.3">
      <c r="A53">
        <v>52</v>
      </c>
      <c r="B53" t="s">
        <v>181</v>
      </c>
    </row>
    <row r="54" spans="1:2" x14ac:dyDescent="0.3">
      <c r="A54">
        <v>53</v>
      </c>
      <c r="B54" t="s">
        <v>149</v>
      </c>
    </row>
    <row r="55" spans="1:2" x14ac:dyDescent="0.3">
      <c r="A55">
        <v>54</v>
      </c>
      <c r="B55" t="s">
        <v>150</v>
      </c>
    </row>
    <row r="56" spans="1:2" x14ac:dyDescent="0.3">
      <c r="A56">
        <v>55</v>
      </c>
      <c r="B56" t="s">
        <v>151</v>
      </c>
    </row>
    <row r="57" spans="1:2" x14ac:dyDescent="0.3">
      <c r="A57">
        <v>56</v>
      </c>
      <c r="B57" t="s">
        <v>182</v>
      </c>
    </row>
    <row r="58" spans="1:2" x14ac:dyDescent="0.3">
      <c r="A58">
        <v>57</v>
      </c>
      <c r="B58" t="s">
        <v>183</v>
      </c>
    </row>
    <row r="59" spans="1:2" x14ac:dyDescent="0.3">
      <c r="A59">
        <v>58</v>
      </c>
      <c r="B59" t="s">
        <v>152</v>
      </c>
    </row>
    <row r="60" spans="1:2" x14ac:dyDescent="0.3">
      <c r="A60">
        <v>59</v>
      </c>
      <c r="B60" t="s">
        <v>153</v>
      </c>
    </row>
    <row r="61" spans="1:2" x14ac:dyDescent="0.3">
      <c r="A61">
        <v>60</v>
      </c>
      <c r="B61" t="s">
        <v>154</v>
      </c>
    </row>
    <row r="62" spans="1:2" x14ac:dyDescent="0.3">
      <c r="A62">
        <v>61</v>
      </c>
      <c r="B62" t="s">
        <v>184</v>
      </c>
    </row>
    <row r="63" spans="1:2" x14ac:dyDescent="0.3">
      <c r="A63">
        <v>62</v>
      </c>
      <c r="B63" t="s">
        <v>155</v>
      </c>
    </row>
    <row r="64" spans="1:2" x14ac:dyDescent="0.3">
      <c r="A64">
        <v>63</v>
      </c>
      <c r="B64" t="s">
        <v>185</v>
      </c>
    </row>
    <row r="65" spans="1:2" x14ac:dyDescent="0.3">
      <c r="A65">
        <v>64</v>
      </c>
      <c r="B65" t="s">
        <v>156</v>
      </c>
    </row>
    <row r="66" spans="1:2" x14ac:dyDescent="0.3">
      <c r="A66">
        <v>65</v>
      </c>
      <c r="B66" t="s">
        <v>186</v>
      </c>
    </row>
    <row r="67" spans="1:2" x14ac:dyDescent="0.3">
      <c r="A67">
        <v>66</v>
      </c>
      <c r="B67" t="s">
        <v>187</v>
      </c>
    </row>
    <row r="68" spans="1:2" x14ac:dyDescent="0.3">
      <c r="A68">
        <v>67</v>
      </c>
      <c r="B68" t="s">
        <v>157</v>
      </c>
    </row>
    <row r="69" spans="1:2" x14ac:dyDescent="0.3">
      <c r="A69">
        <v>68</v>
      </c>
      <c r="B69" t="s">
        <v>188</v>
      </c>
    </row>
    <row r="70" spans="1:2" x14ac:dyDescent="0.3">
      <c r="A70">
        <v>69</v>
      </c>
      <c r="B70" t="s">
        <v>158</v>
      </c>
    </row>
    <row r="71" spans="1:2" x14ac:dyDescent="0.3">
      <c r="A71">
        <v>70</v>
      </c>
      <c r="B71" t="s">
        <v>159</v>
      </c>
    </row>
    <row r="72" spans="1:2" x14ac:dyDescent="0.3">
      <c r="A72">
        <v>71</v>
      </c>
      <c r="B72" t="s">
        <v>160</v>
      </c>
    </row>
    <row r="73" spans="1:2" x14ac:dyDescent="0.3">
      <c r="A73">
        <v>72</v>
      </c>
      <c r="B73" t="s">
        <v>161</v>
      </c>
    </row>
    <row r="74" spans="1:2" x14ac:dyDescent="0.3">
      <c r="A74">
        <v>73</v>
      </c>
      <c r="B74" t="s">
        <v>162</v>
      </c>
    </row>
    <row r="75" spans="1:2" x14ac:dyDescent="0.3">
      <c r="A75">
        <v>74</v>
      </c>
      <c r="B75" t="s">
        <v>163</v>
      </c>
    </row>
    <row r="76" spans="1:2" x14ac:dyDescent="0.3">
      <c r="A76">
        <v>75</v>
      </c>
      <c r="B76" t="s">
        <v>164</v>
      </c>
    </row>
    <row r="77" spans="1:2" x14ac:dyDescent="0.3">
      <c r="A77">
        <v>76</v>
      </c>
      <c r="B77" t="s">
        <v>165</v>
      </c>
    </row>
    <row r="78" spans="1:2" x14ac:dyDescent="0.3">
      <c r="A78">
        <v>77</v>
      </c>
      <c r="B78" t="s">
        <v>192</v>
      </c>
    </row>
    <row r="79" spans="1:2" x14ac:dyDescent="0.3">
      <c r="A79">
        <v>78</v>
      </c>
      <c r="B79" t="s">
        <v>190</v>
      </c>
    </row>
    <row r="80" spans="1:2" x14ac:dyDescent="0.3">
      <c r="A80">
        <v>79</v>
      </c>
      <c r="B80" t="s">
        <v>189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Views>
    <sheetView workbookViewId="0">
      <selection activeCell="D4" sqref="D4"/>
    </sheetView>
  </sheetViews>
  <sheetFormatPr defaultRowHeight="14.4" x14ac:dyDescent="0.3"/>
  <cols>
    <col min="1" max="1" width="38.77734375" customWidth="1"/>
    <col min="2" max="2" width="54.44140625" customWidth="1"/>
    <col min="3" max="9" width="10.109375" customWidth="1"/>
    <col min="10" max="23" width="11.109375" customWidth="1"/>
  </cols>
  <sheetData>
    <row r="1" spans="1:23" ht="25.8" x14ac:dyDescent="0.5">
      <c r="A1" s="2" t="s">
        <v>0</v>
      </c>
      <c r="B1" s="2" t="s">
        <v>1</v>
      </c>
      <c r="C1" s="2" t="s">
        <v>2</v>
      </c>
      <c r="D1" s="2" t="s">
        <v>221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t="25.8" x14ac:dyDescent="0.5">
      <c r="A2" s="3" t="s">
        <v>205</v>
      </c>
      <c r="B2" s="3">
        <v>46005</v>
      </c>
      <c r="C2" s="2"/>
      <c r="D2" s="2" t="s">
        <v>222</v>
      </c>
      <c r="E2" s="2"/>
      <c r="F2" s="2" t="s">
        <v>223</v>
      </c>
      <c r="G2" s="2"/>
      <c r="H2" s="2"/>
      <c r="I2" s="2"/>
      <c r="J2" s="2"/>
      <c r="K2" s="2"/>
      <c r="L2" s="2"/>
    </row>
    <row r="3" spans="1:23" ht="25.8" x14ac:dyDescent="0.5">
      <c r="A3" s="2" t="s">
        <v>206</v>
      </c>
      <c r="B3" s="3">
        <v>46017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23" ht="25.8" x14ac:dyDescent="0.5">
      <c r="A4" s="2"/>
      <c r="B4" s="2"/>
      <c r="C4" s="2"/>
      <c r="D4" s="2" t="s">
        <v>229</v>
      </c>
      <c r="E4" s="2"/>
      <c r="F4" s="2"/>
      <c r="G4" s="2"/>
      <c r="H4" s="2"/>
      <c r="I4" s="2"/>
      <c r="J4" s="2"/>
      <c r="K4" s="2"/>
      <c r="L4" s="2"/>
    </row>
    <row r="5" spans="1:23" ht="25.8" x14ac:dyDescent="0.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23" ht="25.8" x14ac:dyDescent="0.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23" ht="25.8" x14ac:dyDescent="0.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23" ht="25.8" x14ac:dyDescent="0.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23" ht="25.8" x14ac:dyDescent="0.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23" ht="25.8" x14ac:dyDescent="0.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23" ht="25.8" x14ac:dyDescent="0.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23" ht="25.8" x14ac:dyDescent="0.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23" ht="25.8" x14ac:dyDescent="0.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23" ht="25.8" x14ac:dyDescent="0.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23" ht="25.8" x14ac:dyDescent="0.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23" ht="25.8" x14ac:dyDescent="0.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25.8" x14ac:dyDescent="0.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25.8" x14ac:dyDescent="0.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25.8" x14ac:dyDescent="0.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25.8" x14ac:dyDescent="0.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25.8" x14ac:dyDescent="0.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25.8" x14ac:dyDescent="0.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25.8" x14ac:dyDescent="0.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ANALISIS</vt:lpstr>
      <vt:lpstr>PLAYERS</vt:lpstr>
      <vt:lpstr>INVASORS-PLAYERS</vt:lpstr>
      <vt:lpstr>CHARACTERS</vt:lpstr>
      <vt:lpstr>metadata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2026-01-02T02:55:32Z</dcterms:modified>
</cp:coreProperties>
</file>